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mc:AlternateContent xmlns:mc="http://schemas.openxmlformats.org/markup-compatibility/2006">
    <mc:Choice Requires="x15">
      <x15ac:absPath xmlns:x15ac="http://schemas.microsoft.com/office/spreadsheetml/2010/11/ac" url="/Users/jgao/Documents/iondev/ion-ios/"/>
    </mc:Choice>
  </mc:AlternateContent>
  <xr:revisionPtr revIDLastSave="0" documentId="13_ncr:1_{28B415AC-7A4D-474F-9342-DAC26C1187D9}" xr6:coauthVersionLast="47" xr6:coauthVersionMax="47" xr10:uidLastSave="{00000000-0000-0000-0000-000000000000}"/>
  <workbookProtection lockStructure="1"/>
  <bookViews>
    <workbookView xWindow="20" yWindow="540" windowWidth="37960" windowHeight="20540" tabRatio="994" activeTab="1"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40" i="3" l="1"/>
  <c r="H40" i="3"/>
  <c r="D53" i="3"/>
  <c r="H3" i="3"/>
  <c r="C22" i="3"/>
  <c r="C45" i="3" s="1"/>
  <c r="C31" i="3"/>
  <c r="D22" i="3"/>
  <c r="D27" i="3" s="1"/>
  <c r="D31" i="3"/>
  <c r="D18" i="3"/>
  <c r="D19" i="3" s="1"/>
  <c r="C14" i="3" s="1"/>
  <c r="C18" i="3"/>
  <c r="C19" i="3" s="1"/>
  <c r="D14" i="3" s="1"/>
  <c r="C4" i="4"/>
  <c r="H37" i="3"/>
  <c r="D4" i="4"/>
  <c r="C50" i="3"/>
  <c r="H8" i="3"/>
  <c r="H7" i="3"/>
  <c r="C25" i="3"/>
  <c r="D25" i="3"/>
  <c r="J37" i="3"/>
  <c r="H38" i="3"/>
  <c r="J38" i="3"/>
  <c r="H41" i="3"/>
  <c r="J41" i="3"/>
  <c r="H43" i="3"/>
  <c r="J43" i="3"/>
  <c r="J44" i="3"/>
  <c r="D50" i="3"/>
  <c r="H44" i="3"/>
  <c r="D8" i="4"/>
  <c r="C8" i="4"/>
  <c r="C9" i="4"/>
  <c r="D10" i="4"/>
  <c r="C10" i="4"/>
  <c r="H14" i="3" l="1"/>
  <c r="H12" i="3"/>
  <c r="H11" i="3"/>
  <c r="H13" i="3"/>
  <c r="D28" i="3"/>
  <c r="D32" i="3"/>
  <c r="C51" i="3"/>
  <c r="D45" i="3"/>
  <c r="D43" i="3" s="1"/>
  <c r="D29" i="3"/>
  <c r="C27" i="3"/>
  <c r="C3" i="3"/>
  <c r="C34" i="3" s="1"/>
  <c r="D9" i="4"/>
  <c r="J42" i="3" l="1"/>
  <c r="H42" i="3"/>
  <c r="C28" i="3"/>
  <c r="C46" i="3"/>
  <c r="C29" i="3"/>
  <c r="C32" i="3"/>
  <c r="D51" i="3"/>
  <c r="D57" i="3"/>
  <c r="D33" i="3"/>
  <c r="D55" i="3"/>
  <c r="D56" i="3" s="1"/>
  <c r="C43" i="3"/>
  <c r="D46" i="3"/>
  <c r="H10" i="3"/>
  <c r="D34" i="3"/>
  <c r="C40" i="3"/>
  <c r="H17" i="3" l="1"/>
  <c r="H15" i="3"/>
  <c r="D35" i="3"/>
  <c r="D36" i="3" s="1"/>
  <c r="D37" i="3" s="1"/>
  <c r="D38" i="3" s="1"/>
  <c r="D47" i="3"/>
  <c r="H20" i="3" s="1"/>
  <c r="D48" i="3"/>
  <c r="C58" i="3"/>
  <c r="C57" i="3"/>
  <c r="H9" i="3"/>
  <c r="C55" i="3"/>
  <c r="C56" i="3" s="1"/>
  <c r="C33" i="3"/>
  <c r="C35" i="3" s="1"/>
  <c r="C36" i="3" s="1"/>
  <c r="C37" i="3" s="1"/>
  <c r="C38" i="3" s="1"/>
  <c r="C47" i="3"/>
  <c r="H19" i="3" s="1"/>
  <c r="C48" i="3"/>
  <c r="D40" i="3"/>
  <c r="H16" i="3" l="1"/>
  <c r="H18" i="3"/>
  <c r="D58" i="3"/>
  <c r="D59" i="3" s="1"/>
  <c r="C59" i="3"/>
  <c r="C62" i="3" l="1"/>
  <c r="C63" i="3" s="1"/>
  <c r="C60" i="3"/>
  <c r="D62" i="3"/>
  <c r="D63" i="3" s="1"/>
  <c r="D60" i="3"/>
</calcChain>
</file>

<file path=xl/sharedStrings.xml><?xml version="1.0" encoding="utf-8"?>
<sst xmlns="http://schemas.openxmlformats.org/spreadsheetml/2006/main" count="181" uniqueCount="154">
  <si>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</si>
  <si>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</si>
  <si>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</si>
  <si>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</si>
  <si>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</si>
  <si>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</si>
  <si>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</si>
  <si>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</si>
  <si>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</si>
  <si>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</si>
  <si>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</si>
  <si>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</si>
  <si>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</si>
  <si>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</si>
  <si>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</si>
  <si>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</si>
  <si>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</si>
  <si>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</si>
  <si>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</si>
  <si>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</si>
  <si>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</si>
  <si>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</si>
  <si>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</si>
  <si>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</si>
  <si>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bit error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</si>
  <si>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</si>
  <si>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</si>
  <si>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</si>
  <si>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</si>
  <si>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</si>
  <si>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</si>
  <si>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</si>
  <si>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</si>
  <si>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</si>
  <si>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</si>
  <si>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</si>
  <si>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</si>
  <si>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</si>
  <si>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</si>
  <si>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</si>
  <si>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</si>
  <si>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</si>
  <si>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</si>
  <si>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</si>
  <si>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</si>
  <si>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</si>
  <si>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</si>
  <si>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</si>
  <si>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</si>
  <si>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</si>
  <si>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</si>
  <si>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</si>
  <si>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</si>
  <si>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</si>
  <si>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</si>
  <si>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</si>
  <si>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</si>
  <si>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</si>
  <si>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</si>
  <si>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</si>
  <si>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</si>
  <si>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</si>
  <si>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</si>
  <si>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</si>
  <si>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</si>
  <si>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</si>
  <si>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</si>
  <si>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</si>
  <si>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</si>
  <si>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</si>
  <si>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</si>
  <si>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</si>
  <si>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</si>
  <si>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</si>
  <si>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</si>
  <si>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</si>
  <si>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</si>
  <si>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</si>
  <si>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</si>
  <si>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Max % of channel allocated to LTP reports</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</si>
  <si>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</si>
  <si>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</si>
  <si>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</si>
  <si>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</si>
  <si>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</si>
  <si>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</si>
  <si>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</si>
  <si>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</si>
  <si>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</si>
  <si>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</si>
  <si>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</si>
  <si>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</si>
  <si>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</si>
  <si>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</si>
  <si>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</si>
  <si>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</si>
  <si>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</si>
  <si>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</si>
  <si>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Computation </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</si>
  <si>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</si>
  <si>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</si>
  <si>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</si>
  <si>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</si>
  <si>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</si>
  <si>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</si>
  <si>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</si>
  <si>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</si>
  <si>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</si>
  <si>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</si>
  <si>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</si>
  <si>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</si>
  <si>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</si>
  <si>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</si>
  <si>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</si>
  <si>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 queueing latency can be added after the lso command in seconds to properly reflect queueing delay in round-trip delay computation</t>
  </si>
  <si>
    <t>Desired Frame Error Rate*</t>
  </si>
  <si>
    <t>* for Wide Area Network loss simulator use</t>
  </si>
  <si>
    <t>Max number of reports per second supportable</t>
  </si>
  <si>
    <t>Initial value assumes zero retransmission  LTP session.</t>
  </si>
  <si>
    <t>RS+CC</t>
  </si>
  <si>
    <t>Segment Error Rate Computation</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</si>
  <si>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</si>
  <si>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</si>
  <si>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</si>
  <si>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</si>
  <si>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</si>
  <si>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</si>
  <si>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1 contact worth of data (bytes)</t>
  </si>
  <si>
    <t>Additional Margin</t>
  </si>
  <si>
    <t>Added heapword estimate</t>
  </si>
  <si>
    <t>Total ZCO space in bytes (NOT file-resident source data)</t>
  </si>
  <si>
    <t>Only when using pyion 3.7 or other software interfaces to inject data</t>
  </si>
  <si>
    <t>data rate in contact graph</t>
  </si>
  <si>
    <t>Recommended HeapWord Size (with 40% for ZCO)**</t>
  </si>
  <si>
    <t>HeapWord Size (if source data not file-resident)</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</si>
  <si>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</si>
  <si>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</si>
  <si>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</si>
  <si>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</si>
  <si>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Number of Blocks Sent during Contact</t>
  </si>
  <si>
    <t>Est. mean number of bundles/block</t>
  </si>
  <si>
    <t>&lt;- from the "link" sheet</t>
  </si>
  <si>
    <t>relay ZCO is expected to be the same as receive</t>
  </si>
  <si>
    <t>Use this to set heapWords in your .ionconfig file</t>
  </si>
  <si>
    <t>Use this instead if you are using pyion 3.7 or other software interfaces to inject data into ION.</t>
  </si>
  <si>
    <t xml:space="preserve">Longest Contact Period (sec) </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</si>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</sst>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1">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s>
  <borders count="2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61">
    <xf numFmtId="0" fontId="0" fillId="0" borderId="0" xfId="0"/>
    <xf numFmtId="0" fontId="1" fillId="0" borderId="0" xfId="0" applyFont="1" applyAlignment="1">
      <alignment horizontal="center"/>
    </xf>
    <xf numFmtId="0" fontId="0" fillId="2" borderId="3" xfId="0" applyFont="1" applyFill="1" applyBorder="1"/>
    <xf numFmtId="0" fontId="0" fillId="2" borderId="4" xfId="0" applyFont="1" applyFill="1" applyBorder="1"/>
    <xf numFmtId="0" fontId="0" fillId="2" borderId="5" xfId="0" applyFont="1" applyFill="1" applyBorder="1"/>
    <xf numFmtId="0" fontId="2" fillId="0" borderId="0" xfId="5" applyNumberFormat="1" applyFon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Font="1" applyBorder="1" applyAlignment="1">
      <alignment horizontal="center"/>
    </xf>
    <xf numFmtId="0" fontId="0" fillId="0" borderId="6" xfId="0" applyFont="1"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0" borderId="0" xfId="0" applyBorder="1"/>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Font="1" applyAlignment="1">
      <alignment wrapText="1"/>
    </xf>
    <xf numFmtId="0" fontId="0" fillId="0" borderId="0" xfId="0" applyAlignment="1">
      <alignment wrapText="1"/>
    </xf>
    <xf numFmtId="15" fontId="0" fillId="0" borderId="6" xfId="0" applyNumberFormat="1" applyFont="1" applyBorder="1" applyAlignment="1">
      <alignment horizontal="center"/>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Font="1" applyBorder="1" applyAlignment="1">
      <alignment horizontal="center"/>
    </xf>
    <xf numFmtId="0" fontId="0" fillId="0" borderId="7" xfId="0" applyFont="1" applyBorder="1" applyAlignment="1">
      <alignment horizontal="center"/>
    </xf>
    <xf numFmtId="0" fontId="0" fillId="0" borderId="7" xfId="0" applyFont="1"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on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Font="1" applyBorder="1" applyAlignment="1">
      <alignment horizontal="center"/>
    </xf>
    <xf numFmtId="49" fontId="0" fillId="0" borderId="6" xfId="0" applyNumberFormat="1" applyFont="1" applyBorder="1"/>
    <xf numFmtId="49" fontId="0" fillId="0" borderId="7" xfId="0" applyNumberFormat="1" applyFon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0" xfId="0" applyFont="1" applyFill="1" applyBorder="1"/>
    <xf numFmtId="0" fontId="0" fillId="0" borderId="13" xfId="0" applyBorder="1"/>
    <xf numFmtId="0" fontId="2" fillId="0" borderId="0" xfId="5" applyNumberFormat="1" applyFon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0" fontId="23" fillId="0" borderId="0" xfId="0" applyFont="1" applyBorder="1"/>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Fill="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Fill="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0" fillId="0" borderId="0" xfId="0" applyProtection="1"/>
    <xf numFmtId="0" fontId="11" fillId="0" borderId="0" xfId="0" applyFont="1" applyAlignment="1" applyProtection="1">
      <alignment horizontal="center"/>
    </xf>
    <xf numFmtId="0" fontId="5" fillId="0" borderId="0" xfId="0" applyFont="1" applyAlignment="1" applyProtection="1">
      <alignment horizontal="center"/>
    </xf>
    <xf numFmtId="0" fontId="16" fillId="10" borderId="13" xfId="0" applyNumberFormat="1" applyFont="1" applyFill="1" applyBorder="1" applyAlignment="1" applyProtection="1">
      <alignment horizontal="center"/>
    </xf>
    <xf numFmtId="0" fontId="16" fillId="11" borderId="13" xfId="0" applyNumberFormat="1" applyFont="1" applyFill="1" applyBorder="1" applyAlignment="1" applyProtection="1">
      <alignment horizontal="center"/>
    </xf>
    <xf numFmtId="166" fontId="16" fillId="10" borderId="13" xfId="0" applyNumberFormat="1" applyFont="1" applyFill="1" applyBorder="1" applyAlignment="1" applyProtection="1">
      <alignment horizontal="center"/>
    </xf>
    <xf numFmtId="173" fontId="16" fillId="10" borderId="13" xfId="0" applyNumberFormat="1" applyFont="1" applyFill="1" applyBorder="1" applyAlignment="1" applyProtection="1">
      <alignment horizontal="center"/>
    </xf>
    <xf numFmtId="174" fontId="16" fillId="10" borderId="13" xfId="7" applyNumberFormat="1" applyFont="1" applyFill="1" applyBorder="1" applyAlignment="1" applyProtection="1">
      <alignment horizontal="center"/>
    </xf>
    <xf numFmtId="0" fontId="11" fillId="0" borderId="0" xfId="0" applyFont="1" applyProtection="1"/>
    <xf numFmtId="0" fontId="0" fillId="9" borderId="13" xfId="0" applyFont="1" applyFill="1" applyBorder="1" applyAlignment="1" applyProtection="1">
      <alignment horizontal="center" vertical="center" wrapText="1"/>
    </xf>
    <xf numFmtId="0" fontId="0" fillId="9" borderId="14" xfId="0" applyFont="1" applyFill="1" applyBorder="1" applyAlignment="1" applyProtection="1">
      <alignment horizontal="center" vertical="center" wrapText="1"/>
    </xf>
    <xf numFmtId="0" fontId="0" fillId="0" borderId="13" xfId="0" applyFont="1" applyBorder="1" applyAlignment="1" applyProtection="1">
      <alignment horizontal="center" vertical="center"/>
    </xf>
    <xf numFmtId="0" fontId="0" fillId="0" borderId="13" xfId="0" applyFont="1" applyFill="1" applyBorder="1" applyAlignment="1" applyProtection="1">
      <alignment horizontal="center" vertical="center"/>
    </xf>
    <xf numFmtId="0" fontId="0" fillId="0" borderId="0" xfId="0" applyAlignment="1" applyProtection="1">
      <alignment wrapText="1"/>
    </xf>
    <xf numFmtId="0" fontId="5" fillId="0" borderId="0" xfId="0" applyFont="1" applyAlignment="1" applyProtection="1">
      <alignment wrapText="1"/>
    </xf>
    <xf numFmtId="0" fontId="5" fillId="0" borderId="6" xfId="0" applyFont="1" applyBorder="1" applyAlignment="1" applyProtection="1">
      <alignment horizontal="center"/>
    </xf>
    <xf numFmtId="170" fontId="0" fillId="12" borderId="13" xfId="0" applyNumberFormat="1" applyFill="1" applyBorder="1" applyProtection="1"/>
    <xf numFmtId="0" fontId="5" fillId="0" borderId="12" xfId="0" applyFont="1" applyBorder="1" applyAlignment="1" applyProtection="1">
      <alignment horizontal="center"/>
    </xf>
    <xf numFmtId="0" fontId="5" fillId="0" borderId="13" xfId="0" applyFont="1" applyBorder="1" applyAlignment="1" applyProtection="1">
      <alignment horizontal="center" wrapText="1"/>
    </xf>
    <xf numFmtId="0" fontId="5" fillId="0" borderId="7" xfId="0" applyFont="1" applyBorder="1" applyAlignment="1" applyProtection="1">
      <alignment horizontal="center"/>
    </xf>
    <xf numFmtId="0" fontId="0" fillId="0" borderId="13" xfId="0" applyBorder="1" applyAlignment="1" applyProtection="1">
      <alignment wrapText="1"/>
    </xf>
    <xf numFmtId="0" fontId="26" fillId="0" borderId="8" xfId="0" applyFont="1" applyBorder="1" applyProtection="1"/>
    <xf numFmtId="0" fontId="0" fillId="0" borderId="9" xfId="0" applyBorder="1" applyProtection="1"/>
    <xf numFmtId="0" fontId="0" fillId="0" borderId="10" xfId="0" applyBorder="1" applyProtection="1"/>
    <xf numFmtId="0" fontId="0" fillId="0" borderId="0" xfId="0" applyBorder="1" applyProtection="1"/>
    <xf numFmtId="0" fontId="0" fillId="0" borderId="11" xfId="0" applyBorder="1" applyProtection="1"/>
    <xf numFmtId="0" fontId="12" fillId="0" borderId="8" xfId="0" applyFont="1" applyBorder="1" applyProtection="1"/>
    <xf numFmtId="0" fontId="17" fillId="0" borderId="13" xfId="0" applyFont="1" applyBorder="1" applyAlignment="1" applyProtection="1">
      <alignment wrapText="1"/>
    </xf>
    <xf numFmtId="0" fontId="18" fillId="0" borderId="0" xfId="0" applyFont="1" applyAlignment="1" applyProtection="1">
      <alignment wrapText="1"/>
    </xf>
    <xf numFmtId="0" fontId="12" fillId="0" borderId="0" xfId="0" applyFont="1" applyProtection="1"/>
    <xf numFmtId="0" fontId="24" fillId="0" borderId="13" xfId="0" applyFont="1" applyBorder="1" applyAlignment="1" applyProtection="1">
      <alignment wrapText="1"/>
    </xf>
    <xf numFmtId="0" fontId="0" fillId="0" borderId="0" xfId="0" applyAlignment="1" applyProtection="1">
      <alignment horizontal="center"/>
    </xf>
    <xf numFmtId="0" fontId="25" fillId="0" borderId="0" xfId="0" applyFont="1" applyAlignment="1" applyProtection="1">
      <alignment wrapText="1"/>
    </xf>
    <xf numFmtId="0" fontId="12" fillId="0" borderId="20" xfId="0" applyFont="1" applyBorder="1" applyProtection="1"/>
    <xf numFmtId="0" fontId="0" fillId="0" borderId="21" xfId="0" applyBorder="1" applyProtection="1"/>
    <xf numFmtId="0" fontId="19" fillId="0" borderId="13" xfId="0" applyFont="1" applyBorder="1" applyAlignment="1" applyProtection="1">
      <alignment wrapText="1"/>
    </xf>
    <xf numFmtId="0" fontId="20" fillId="0" borderId="13" xfId="0" applyFont="1" applyBorder="1" applyAlignment="1" applyProtection="1">
      <alignment wrapText="1"/>
    </xf>
    <xf numFmtId="0" fontId="26" fillId="0" borderId="20" xfId="0" applyFont="1" applyBorder="1" applyProtection="1"/>
    <xf numFmtId="0" fontId="9" fillId="0" borderId="0" xfId="0" applyFont="1" applyAlignment="1" applyProtection="1">
      <alignment horizontal="left"/>
    </xf>
    <xf numFmtId="0" fontId="0" fillId="0" borderId="0" xfId="0" applyBorder="1" applyAlignment="1" applyProtection="1">
      <alignment wrapText="1"/>
    </xf>
    <xf numFmtId="0" fontId="5" fillId="0" borderId="0" xfId="0" applyFont="1" applyBorder="1" applyAlignment="1" applyProtection="1">
      <alignment wrapText="1"/>
    </xf>
    <xf numFmtId="0" fontId="5" fillId="0" borderId="0" xfId="0" applyFont="1" applyBorder="1" applyProtection="1"/>
    <xf numFmtId="0" fontId="13" fillId="0" borderId="0" xfId="0" applyFont="1" applyAlignment="1" applyProtection="1">
      <alignment wrapText="1"/>
    </xf>
    <xf numFmtId="0" fontId="12" fillId="0" borderId="22" xfId="0" applyFont="1" applyBorder="1" applyProtection="1"/>
    <xf numFmtId="0" fontId="0" fillId="0" borderId="17" xfId="0" applyBorder="1" applyProtection="1"/>
    <xf numFmtId="0" fontId="0" fillId="0" borderId="23" xfId="0" applyBorder="1" applyProtection="1"/>
    <xf numFmtId="0" fontId="0" fillId="0" borderId="0" xfId="0" applyAlignment="1" applyProtection="1">
      <alignment horizontal="left"/>
    </xf>
    <xf numFmtId="2" fontId="0" fillId="0" borderId="0" xfId="0" applyNumberFormat="1" applyAlignment="1" applyProtection="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5" fillId="0" borderId="0" xfId="0" applyFont="1" applyProtection="1"/>
    <xf numFmtId="0" fontId="0" fillId="0" borderId="16" xfId="0" applyBorder="1" applyProtection="1"/>
    <xf numFmtId="0" fontId="0" fillId="0" borderId="19" xfId="0" applyBorder="1" applyProtection="1"/>
    <xf numFmtId="0" fontId="12" fillId="0" borderId="0" xfId="0" applyFont="1" applyAlignment="1" applyProtection="1">
      <alignment wrapText="1"/>
    </xf>
    <xf numFmtId="0" fontId="27" fillId="0" borderId="13" xfId="0" applyFont="1" applyBorder="1" applyAlignment="1" applyProtection="1">
      <alignment wrapText="1"/>
    </xf>
    <xf numFmtId="166" fontId="0" fillId="0" borderId="18" xfId="0" applyNumberFormat="1" applyBorder="1" applyProtection="1"/>
    <xf numFmtId="0" fontId="0" fillId="0" borderId="18" xfId="0" applyBorder="1" applyProtection="1"/>
    <xf numFmtId="0" fontId="16" fillId="0" borderId="13" xfId="0" applyFont="1" applyBorder="1" applyAlignment="1" applyProtection="1">
      <alignment wrapText="1"/>
    </xf>
    <xf numFmtId="0" fontId="0" fillId="0" borderId="0" xfId="0" applyFont="1" applyAlignment="1" applyProtection="1">
      <alignment horizontal="left" indent="1"/>
    </xf>
    <xf numFmtId="0" fontId="0" fillId="0" borderId="13" xfId="0" applyBorder="1" applyProtection="1"/>
    <xf numFmtId="0" fontId="15" fillId="0" borderId="13" xfId="0" applyFont="1" applyBorder="1" applyAlignment="1" applyProtection="1">
      <alignment wrapText="1"/>
    </xf>
    <xf numFmtId="0" fontId="21" fillId="0" borderId="0" xfId="0" applyFont="1" applyBorder="1" applyProtection="1"/>
    <xf numFmtId="0" fontId="0" fillId="19" borderId="13" xfId="6" applyNumberFormat="1" applyFont="1" applyFill="1" applyBorder="1" applyAlignment="1" applyProtection="1">
      <alignment horizontal="center" vertical="center"/>
    </xf>
    <xf numFmtId="0" fontId="33" fillId="0" borderId="13" xfId="0" applyFont="1" applyBorder="1" applyAlignment="1" applyProtection="1">
      <alignment vertical="center" wrapText="1"/>
    </xf>
    <xf numFmtId="0" fontId="32" fillId="0" borderId="13" xfId="0" applyFont="1" applyBorder="1" applyAlignment="1" applyProtection="1">
      <alignment wrapText="1"/>
    </xf>
    <xf numFmtId="0" fontId="29" fillId="0" borderId="13" xfId="0" applyFont="1" applyBorder="1" applyAlignment="1" applyProtection="1">
      <alignment wrapText="1"/>
    </xf>
    <xf numFmtId="0" fontId="30" fillId="0" borderId="13" xfId="0" applyFont="1" applyBorder="1" applyAlignment="1" applyProtection="1">
      <alignment wrapText="1"/>
    </xf>
    <xf numFmtId="0" fontId="28" fillId="0" borderId="0" xfId="0" applyFont="1" applyAlignment="1" applyProtection="1">
      <alignment wrapText="1"/>
    </xf>
    <xf numFmtId="0" fontId="5" fillId="0" borderId="6" xfId="0" applyFont="1" applyBorder="1" applyAlignment="1" applyProtection="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applyProtection="1"/>
    <xf numFmtId="0" fontId="36" fillId="0" borderId="0" xfId="0" applyFont="1" applyProtection="1"/>
    <xf numFmtId="0" fontId="23" fillId="0" borderId="15" xfId="0" applyFont="1" applyBorder="1" applyAlignment="1">
      <alignment horizontal="center"/>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20</xdr:row>
      <xdr:rowOff>150447</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58"/>
  <sheetViews>
    <sheetView showGridLines="0" tabSelected="1" topLeftCell="A9" zoomScale="142" zoomScaleNormal="142" workbookViewId="0">
      <selection activeCell="E35" sqref="E35"/>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customWidth="1"/>
  </cols>
  <sheetData>
    <row r="2" spans="2:5" x14ac:dyDescent="0.2">
      <c r="B2" s="6" t="s">
        <v>6</v>
      </c>
      <c r="C2" s="6" t="s">
        <v>7</v>
      </c>
      <c r="D2" s="6" t="s">
        <v>8</v>
      </c>
      <c r="E2" s="6" t="s">
        <v>9</v>
      </c>
    </row>
    <row r="3" spans="2:5" x14ac:dyDescent="0.2">
      <c r="B3" s="7">
        <v>42410</v>
      </c>
      <c r="C3" s="8" t="s">
        <v>10</v>
      </c>
      <c r="D3" s="46">
        <v>1</v>
      </c>
      <c r="E3" s="9" t="s">
        <v>11</v>
      </c>
    </row>
    <row r="4" spans="2:5" x14ac:dyDescent="0.2">
      <c r="B4" s="7">
        <v>42412</v>
      </c>
      <c r="C4" s="8" t="s">
        <v>12</v>
      </c>
      <c r="D4" s="47">
        <v>1.1000000000000001</v>
      </c>
      <c r="E4" s="9" t="s">
        <v>13</v>
      </c>
    </row>
    <row r="5" spans="2:5" x14ac:dyDescent="0.2">
      <c r="B5" s="8"/>
      <c r="C5" s="8"/>
      <c r="D5" s="47"/>
      <c r="E5" s="9" t="s">
        <v>14</v>
      </c>
    </row>
    <row r="6" spans="2:5" x14ac:dyDescent="0.2">
      <c r="B6" s="8"/>
      <c r="C6" s="8"/>
      <c r="D6" s="47"/>
      <c r="E6" s="9" t="s">
        <v>15</v>
      </c>
    </row>
    <row r="7" spans="2:5" x14ac:dyDescent="0.2">
      <c r="B7" s="7">
        <v>42418</v>
      </c>
      <c r="C7" s="8" t="s">
        <v>12</v>
      </c>
      <c r="D7" s="47">
        <v>1.2</v>
      </c>
      <c r="E7" s="9" t="s">
        <v>16</v>
      </c>
    </row>
    <row r="8" spans="2:5" x14ac:dyDescent="0.2">
      <c r="B8" s="8"/>
      <c r="C8" s="8"/>
      <c r="D8" s="47"/>
      <c r="E8" s="9" t="s">
        <v>17</v>
      </c>
    </row>
    <row r="9" spans="2:5" x14ac:dyDescent="0.2">
      <c r="B9" s="8"/>
      <c r="C9" s="8"/>
      <c r="D9" s="47"/>
      <c r="E9" s="9" t="s">
        <v>18</v>
      </c>
    </row>
    <row r="10" spans="2:5" x14ac:dyDescent="0.2">
      <c r="B10" s="25">
        <v>42438</v>
      </c>
      <c r="C10" s="8" t="s">
        <v>12</v>
      </c>
      <c r="D10" s="47">
        <v>1.3</v>
      </c>
      <c r="E10" s="9" t="s">
        <v>19</v>
      </c>
    </row>
    <row r="11" spans="2:5" x14ac:dyDescent="0.2">
      <c r="B11" s="8"/>
      <c r="C11" s="8"/>
      <c r="D11" s="47"/>
      <c r="E11" s="9" t="s">
        <v>20</v>
      </c>
    </row>
    <row r="12" spans="2:5" x14ac:dyDescent="0.2">
      <c r="B12" s="25">
        <v>42444</v>
      </c>
      <c r="C12" s="8" t="s">
        <v>12</v>
      </c>
      <c r="D12" s="47">
        <v>1.4</v>
      </c>
      <c r="E12" s="9" t="s">
        <v>21</v>
      </c>
    </row>
    <row r="13" spans="2:5" x14ac:dyDescent="0.2">
      <c r="B13" s="25">
        <v>42453</v>
      </c>
      <c r="C13" s="8" t="s">
        <v>12</v>
      </c>
      <c r="D13" s="47">
        <v>1.5</v>
      </c>
      <c r="E13" s="9" t="s">
        <v>57</v>
      </c>
    </row>
    <row r="14" spans="2:5" x14ac:dyDescent="0.2">
      <c r="B14" s="9"/>
      <c r="C14" s="9"/>
      <c r="D14" s="48"/>
      <c r="E14" s="9" t="s">
        <v>58</v>
      </c>
    </row>
    <row r="15" spans="2:5" x14ac:dyDescent="0.2">
      <c r="B15" s="9"/>
      <c r="C15" s="9"/>
      <c r="D15" s="48"/>
      <c r="E15" s="9" t="s">
        <v>59</v>
      </c>
    </row>
    <row r="16" spans="2:5" x14ac:dyDescent="0.2">
      <c r="B16" s="9"/>
      <c r="C16" s="9"/>
      <c r="D16" s="48"/>
      <c r="E16" s="9" t="s">
        <v>60</v>
      </c>
    </row>
    <row r="17" spans="2:5" x14ac:dyDescent="0.2">
      <c r="B17" s="9"/>
      <c r="C17" s="9"/>
      <c r="D17" s="48"/>
      <c r="E17" s="9" t="s">
        <v>61</v>
      </c>
    </row>
    <row r="18" spans="2:5" x14ac:dyDescent="0.2">
      <c r="B18" s="9"/>
      <c r="C18" s="9"/>
      <c r="D18" s="48"/>
      <c r="E18" s="9" t="s">
        <v>62</v>
      </c>
    </row>
    <row r="19" spans="2:5" ht="16" customHeight="1" x14ac:dyDescent="0.2">
      <c r="B19" s="25">
        <v>42464</v>
      </c>
      <c r="C19" s="8" t="s">
        <v>12</v>
      </c>
      <c r="D19" s="47">
        <v>1.6</v>
      </c>
      <c r="E19" s="9" t="s">
        <v>65</v>
      </c>
    </row>
    <row r="20" spans="2:5" ht="16" customHeight="1" x14ac:dyDescent="0.2">
      <c r="B20" s="9"/>
      <c r="C20" s="9"/>
      <c r="D20" s="48"/>
      <c r="E20" s="9" t="s">
        <v>66</v>
      </c>
    </row>
    <row r="21" spans="2:5" x14ac:dyDescent="0.2">
      <c r="B21" s="9"/>
      <c r="C21" s="9"/>
      <c r="D21" s="48"/>
      <c r="E21" s="9" t="s">
        <v>67</v>
      </c>
    </row>
    <row r="22" spans="2:5" ht="16" customHeight="1" x14ac:dyDescent="0.2">
      <c r="B22" s="9"/>
      <c r="C22" s="9"/>
      <c r="D22" s="48"/>
      <c r="E22" s="9" t="s">
        <v>68</v>
      </c>
    </row>
    <row r="23" spans="2:5" ht="16" customHeight="1" x14ac:dyDescent="0.2">
      <c r="B23" s="9"/>
      <c r="C23" s="9"/>
      <c r="D23" s="48"/>
      <c r="E23" s="9" t="s">
        <v>69</v>
      </c>
    </row>
    <row r="24" spans="2:5" x14ac:dyDescent="0.2">
      <c r="B24" s="25">
        <v>42494</v>
      </c>
      <c r="C24" s="8" t="s">
        <v>12</v>
      </c>
      <c r="D24" s="47">
        <v>1.7</v>
      </c>
      <c r="E24" s="9" t="s">
        <v>72</v>
      </c>
    </row>
    <row r="25" spans="2:5" ht="16" customHeight="1" x14ac:dyDescent="0.2">
      <c r="B25" s="40">
        <v>42525</v>
      </c>
      <c r="C25" s="41" t="s">
        <v>12</v>
      </c>
      <c r="D25" s="49">
        <v>1.8</v>
      </c>
      <c r="E25" s="42" t="s">
        <v>82</v>
      </c>
    </row>
    <row r="26" spans="2:5" ht="16" customHeight="1" x14ac:dyDescent="0.2">
      <c r="B26" s="71">
        <v>44243</v>
      </c>
      <c r="C26" s="72" t="s">
        <v>83</v>
      </c>
      <c r="D26" s="73" t="s">
        <v>93</v>
      </c>
      <c r="E26" s="74" t="s">
        <v>88</v>
      </c>
    </row>
    <row r="27" spans="2:5" ht="16" customHeight="1" x14ac:dyDescent="0.2">
      <c r="B27" s="71">
        <v>44244</v>
      </c>
      <c r="C27" s="72"/>
      <c r="D27" s="73"/>
      <c r="E27" s="74" t="s">
        <v>92</v>
      </c>
    </row>
    <row r="28" spans="2:5" ht="16" customHeight="1" x14ac:dyDescent="0.2">
      <c r="B28" s="71"/>
      <c r="C28" s="72"/>
      <c r="D28" s="73"/>
      <c r="E28" s="74" t="s">
        <v>91</v>
      </c>
    </row>
    <row r="29" spans="2:5" x14ac:dyDescent="0.2">
      <c r="B29" s="71"/>
      <c r="C29" s="72"/>
      <c r="D29" s="73"/>
      <c r="E29" s="74" t="s">
        <v>111</v>
      </c>
    </row>
    <row r="30" spans="2:5" x14ac:dyDescent="0.2">
      <c r="B30" s="71">
        <v>44249</v>
      </c>
      <c r="C30" s="72"/>
      <c r="D30" s="73"/>
      <c r="E30" s="74" t="s">
        <v>110</v>
      </c>
    </row>
    <row r="31" spans="2:5" x14ac:dyDescent="0.2">
      <c r="B31" s="71">
        <v>44257</v>
      </c>
      <c r="C31" s="72"/>
      <c r="D31" s="73"/>
      <c r="E31" s="74" t="s">
        <v>112</v>
      </c>
    </row>
    <row r="32" spans="2:5" x14ac:dyDescent="0.2">
      <c r="B32" s="71">
        <v>44283</v>
      </c>
      <c r="C32" s="72"/>
      <c r="D32" s="72"/>
      <c r="E32" s="74" t="s">
        <v>122</v>
      </c>
    </row>
    <row r="33" spans="1:5" x14ac:dyDescent="0.2">
      <c r="B33" s="70">
        <v>44287</v>
      </c>
      <c r="C33" s="55"/>
      <c r="D33" s="55"/>
      <c r="E33" s="55" t="s">
        <v>124</v>
      </c>
    </row>
    <row r="34" spans="1:5" x14ac:dyDescent="0.2">
      <c r="A34" s="63"/>
      <c r="B34" s="64"/>
      <c r="C34" s="65"/>
      <c r="D34" s="65"/>
      <c r="E34" s="65" t="s">
        <v>121</v>
      </c>
    </row>
    <row r="35" spans="1:5" x14ac:dyDescent="0.2">
      <c r="A35" s="63"/>
      <c r="B35" s="79">
        <v>44295</v>
      </c>
      <c r="C35" s="65"/>
      <c r="D35" s="65"/>
      <c r="E35" s="78" t="s">
        <v>129</v>
      </c>
    </row>
    <row r="36" spans="1:5" x14ac:dyDescent="0.2">
      <c r="A36" s="63"/>
      <c r="B36" s="79">
        <v>44614</v>
      </c>
      <c r="C36" s="160" t="s">
        <v>83</v>
      </c>
      <c r="D36" s="160">
        <v>2.1</v>
      </c>
      <c r="E36" s="74" t="s">
        <v>153</v>
      </c>
    </row>
    <row r="37" spans="1:5" x14ac:dyDescent="0.2">
      <c r="A37" s="63"/>
      <c r="B37" s="64"/>
      <c r="C37" s="65"/>
      <c r="D37" s="65"/>
      <c r="E37" s="65"/>
    </row>
    <row r="38" spans="1:5" x14ac:dyDescent="0.2">
      <c r="A38" s="63"/>
      <c r="B38" s="67"/>
      <c r="C38" s="67"/>
      <c r="D38" s="67"/>
      <c r="E38" s="67"/>
    </row>
    <row r="39" spans="1:5" x14ac:dyDescent="0.2">
      <c r="B39" s="14"/>
      <c r="C39" s="14"/>
      <c r="D39" s="14"/>
      <c r="E39" s="14"/>
    </row>
    <row r="40" spans="1:5" x14ac:dyDescent="0.2">
      <c r="B40" s="5" t="s">
        <v>3</v>
      </c>
    </row>
    <row r="41" spans="1:5" x14ac:dyDescent="0.2">
      <c r="B41" s="5" t="s">
        <v>4</v>
      </c>
    </row>
    <row r="42" spans="1:5" x14ac:dyDescent="0.2">
      <c r="B42" s="5" t="s">
        <v>5</v>
      </c>
    </row>
    <row r="49" spans="5:5" x14ac:dyDescent="0.2">
      <c r="E49" s="23"/>
    </row>
    <row r="54" spans="5:5" x14ac:dyDescent="0.2">
      <c r="E54" s="20"/>
    </row>
    <row r="55" spans="5:5" x14ac:dyDescent="0.2">
      <c r="E55" s="20"/>
    </row>
    <row r="58" spans="5:5" x14ac:dyDescent="0.2">
      <c r="E58" s="24"/>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42"/>
  <sheetViews>
    <sheetView zoomScale="130" zoomScaleNormal="130" workbookViewId="0">
      <selection activeCell="E3" sqref="E3"/>
    </sheetView>
  </sheetViews>
  <sheetFormatPr baseColWidth="10" defaultRowHeight="15" x14ac:dyDescent="0.2"/>
  <cols>
    <col min="2" max="2" width="31.33203125" customWidth="1"/>
    <col min="3" max="3" width="29.1640625" customWidth="1"/>
    <col min="4" max="4" width="32.83203125" customWidth="1"/>
    <col min="5" max="5" width="20.6640625" customWidth="1"/>
    <col min="6" max="6" width="10.33203125" customWidth="1"/>
  </cols>
  <sheetData>
    <row r="1" spans="1:6" x14ac:dyDescent="0.2">
      <c r="A1" s="85"/>
      <c r="B1" s="85"/>
      <c r="C1" s="85"/>
      <c r="D1" s="85"/>
    </row>
    <row r="2" spans="1:6" ht="16" x14ac:dyDescent="0.2">
      <c r="A2" s="85"/>
      <c r="B2" s="86" t="s">
        <v>87</v>
      </c>
      <c r="C2" s="87" t="s">
        <v>108</v>
      </c>
      <c r="D2" s="87" t="s">
        <v>109</v>
      </c>
      <c r="F2" s="50" t="s">
        <v>96</v>
      </c>
    </row>
    <row r="3" spans="1:6" x14ac:dyDescent="0.2">
      <c r="A3" s="85"/>
      <c r="B3" s="75" t="s">
        <v>86</v>
      </c>
      <c r="C3" s="66">
        <v>16384</v>
      </c>
      <c r="D3" s="66">
        <v>16384</v>
      </c>
    </row>
    <row r="4" spans="1:6" x14ac:dyDescent="0.2">
      <c r="A4" s="85"/>
      <c r="B4" s="76" t="s">
        <v>85</v>
      </c>
      <c r="C4" s="88">
        <f>C3/8</f>
        <v>2048</v>
      </c>
      <c r="D4" s="88">
        <f>D3/8</f>
        <v>2048</v>
      </c>
    </row>
    <row r="5" spans="1:6" x14ac:dyDescent="0.2">
      <c r="A5" s="85"/>
      <c r="B5" s="75" t="s">
        <v>115</v>
      </c>
      <c r="C5" s="68">
        <v>1.0000000000000001E-5</v>
      </c>
      <c r="D5" s="69">
        <v>1.0000000000000001E-5</v>
      </c>
    </row>
    <row r="6" spans="1:6" x14ac:dyDescent="0.2">
      <c r="A6" s="85"/>
      <c r="B6" s="89" t="s">
        <v>102</v>
      </c>
      <c r="C6" s="66">
        <v>1800</v>
      </c>
      <c r="D6" s="66">
        <v>1400</v>
      </c>
    </row>
    <row r="7" spans="1:6" x14ac:dyDescent="0.2">
      <c r="A7" s="85"/>
      <c r="B7" s="89" t="s">
        <v>103</v>
      </c>
      <c r="C7" s="66">
        <v>1500</v>
      </c>
      <c r="D7" s="66">
        <v>1500</v>
      </c>
    </row>
    <row r="8" spans="1:6" x14ac:dyDescent="0.2">
      <c r="A8" s="85"/>
      <c r="B8" s="89" t="s">
        <v>120</v>
      </c>
      <c r="C8" s="88">
        <f ca="1">ser_ccsds($C$6,$C$4,$C$5)</f>
        <v>2.0000000000000002E-5</v>
      </c>
      <c r="D8" s="90">
        <f ca="1">ser_ccsds($C$6,$C$4,$C$5)</f>
        <v>2.0000000000000002E-5</v>
      </c>
    </row>
    <row r="9" spans="1:6" x14ac:dyDescent="0.2">
      <c r="A9" s="85"/>
      <c r="B9" s="89" t="s">
        <v>98</v>
      </c>
      <c r="C9" s="91">
        <f ca="1">ser2ber($C$6,$C$8)</f>
        <v>1.3889027705715762E-9</v>
      </c>
      <c r="D9" s="91">
        <f ca="1">ser2ber($C$6,$C$8)</f>
        <v>1.3889027705715762E-9</v>
      </c>
    </row>
    <row r="10" spans="1:6" ht="32" x14ac:dyDescent="0.2">
      <c r="A10" s="85"/>
      <c r="B10" s="89" t="s">
        <v>99</v>
      </c>
      <c r="C10" s="92">
        <f ca="1">ser2efer($C$8,$C$6,$C$7)</f>
        <v>1.0000050000513738E-5</v>
      </c>
      <c r="D10" s="92">
        <f ca="1">ser2efer($C$8,$C$6,$C$7)</f>
        <v>1.0000050000513738E-5</v>
      </c>
      <c r="E10" s="24" t="s">
        <v>116</v>
      </c>
    </row>
    <row r="11" spans="1:6" x14ac:dyDescent="0.2">
      <c r="A11" s="85"/>
      <c r="B11" s="51" t="s">
        <v>95</v>
      </c>
      <c r="C11" s="85"/>
      <c r="D11" s="85"/>
    </row>
    <row r="12" spans="1:6" x14ac:dyDescent="0.2">
      <c r="A12" s="85"/>
      <c r="B12" s="85"/>
      <c r="C12" s="85"/>
      <c r="D12" s="85"/>
    </row>
    <row r="13" spans="1:6" ht="16" x14ac:dyDescent="0.2">
      <c r="A13" s="85"/>
      <c r="B13" s="93" t="s">
        <v>94</v>
      </c>
      <c r="C13" s="85"/>
      <c r="D13" s="85"/>
    </row>
    <row r="14" spans="1:6" ht="16" x14ac:dyDescent="0.2">
      <c r="A14" s="85"/>
      <c r="B14" s="45" t="s">
        <v>84</v>
      </c>
      <c r="C14" s="94" t="s">
        <v>90</v>
      </c>
      <c r="D14" s="95" t="s">
        <v>119</v>
      </c>
    </row>
    <row r="15" spans="1:6" x14ac:dyDescent="0.2">
      <c r="A15" s="85"/>
      <c r="B15" s="96">
        <v>1784</v>
      </c>
      <c r="C15" s="96" t="s">
        <v>89</v>
      </c>
      <c r="D15" s="96"/>
    </row>
    <row r="16" spans="1:6" x14ac:dyDescent="0.2">
      <c r="A16" s="85"/>
      <c r="B16" s="96">
        <v>2072</v>
      </c>
      <c r="C16" s="96"/>
      <c r="D16" s="96" t="s">
        <v>89</v>
      </c>
    </row>
    <row r="17" spans="1:6" x14ac:dyDescent="0.2">
      <c r="A17" s="85"/>
      <c r="B17" s="96">
        <v>3568</v>
      </c>
      <c r="C17" s="96" t="s">
        <v>89</v>
      </c>
      <c r="D17" s="96"/>
    </row>
    <row r="18" spans="1:6" x14ac:dyDescent="0.2">
      <c r="A18" s="85"/>
      <c r="B18" s="96">
        <v>4112</v>
      </c>
      <c r="C18" s="96"/>
      <c r="D18" s="96" t="s">
        <v>89</v>
      </c>
    </row>
    <row r="19" spans="1:6" x14ac:dyDescent="0.2">
      <c r="A19" s="85"/>
      <c r="B19" s="96">
        <v>6152</v>
      </c>
      <c r="C19" s="96"/>
      <c r="D19" s="96" t="s">
        <v>89</v>
      </c>
    </row>
    <row r="20" spans="1:6" x14ac:dyDescent="0.2">
      <c r="A20" s="85"/>
      <c r="B20" s="96">
        <v>7136</v>
      </c>
      <c r="C20" s="96" t="s">
        <v>89</v>
      </c>
      <c r="D20" s="96"/>
    </row>
    <row r="21" spans="1:6" x14ac:dyDescent="0.2">
      <c r="A21" s="85"/>
      <c r="B21" s="96">
        <v>8192</v>
      </c>
      <c r="C21" s="96"/>
      <c r="D21" s="96" t="s">
        <v>89</v>
      </c>
    </row>
    <row r="22" spans="1:6" x14ac:dyDescent="0.2">
      <c r="A22" s="85"/>
      <c r="B22" s="96">
        <v>8920</v>
      </c>
      <c r="C22" s="96" t="s">
        <v>89</v>
      </c>
      <c r="D22" s="96"/>
    </row>
    <row r="23" spans="1:6" x14ac:dyDescent="0.2">
      <c r="A23" s="85"/>
      <c r="B23" s="96">
        <v>10232</v>
      </c>
      <c r="C23" s="96"/>
      <c r="D23" s="96" t="s">
        <v>89</v>
      </c>
    </row>
    <row r="24" spans="1:6" x14ac:dyDescent="0.2">
      <c r="A24" s="85"/>
      <c r="B24" s="96">
        <v>16352</v>
      </c>
      <c r="C24" s="96"/>
      <c r="D24" s="96" t="s">
        <v>89</v>
      </c>
      <c r="F24" s="18" t="s">
        <v>100</v>
      </c>
    </row>
    <row r="25" spans="1:6" x14ac:dyDescent="0.2">
      <c r="A25" s="85"/>
      <c r="B25" s="97">
        <v>16384</v>
      </c>
      <c r="C25" s="96" t="s">
        <v>89</v>
      </c>
      <c r="D25" s="96"/>
      <c r="F25" t="s">
        <v>101</v>
      </c>
    </row>
    <row r="26" spans="1:6" x14ac:dyDescent="0.2">
      <c r="A26" s="85"/>
      <c r="B26" s="97">
        <v>32672</v>
      </c>
      <c r="C26" s="96"/>
      <c r="D26" s="96" t="s">
        <v>89</v>
      </c>
    </row>
    <row r="28" spans="1:6" x14ac:dyDescent="0.2">
      <c r="B28" s="18"/>
      <c r="D28" s="18"/>
    </row>
    <row r="32" spans="1:6" x14ac:dyDescent="0.2">
      <c r="B32" s="52"/>
    </row>
    <row r="33" spans="2:4" x14ac:dyDescent="0.2">
      <c r="B33" s="54"/>
    </row>
    <row r="34" spans="2:4" x14ac:dyDescent="0.2">
      <c r="B34" s="53"/>
    </row>
    <row r="35" spans="2:4" x14ac:dyDescent="0.2">
      <c r="B35" s="18"/>
      <c r="D35" s="18"/>
    </row>
    <row r="41" spans="2:4" x14ac:dyDescent="0.2">
      <c r="C41" s="53"/>
    </row>
    <row r="42" spans="2:4" x14ac:dyDescent="0.2">
      <c r="C42" s="53"/>
    </row>
  </sheetData>
  <sheetProtection sheet="1" objects="1" scenarios="1"/>
  <dataValidations count="2">
    <dataValidation allowBlank="1" showInputMessage="1" showErrorMessage="1" prompt="The size of a single data unit presented by the client to be sent by ION - normally bundle size for Node 1, or Report Segment for Node 2" sqref="B14" xr:uid="{00000000-0002-0000-0300-000000000000}"/>
    <dataValidation type="list" allowBlank="1" showInputMessage="1" showErrorMessage="1" sqref="C3:D3" xr:uid="{00000000-0002-0000-0300-000001000000}">
      <formula1>$B$15:$B$26</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M74"/>
  <sheetViews>
    <sheetView showGridLines="0" topLeftCell="F34" zoomScale="172" zoomScaleNormal="172" workbookViewId="0">
      <selection activeCell="J41" sqref="J41"/>
    </sheetView>
  </sheetViews>
  <sheetFormatPr baseColWidth="10" defaultColWidth="8.83203125" defaultRowHeight="15" x14ac:dyDescent="0.2"/>
  <cols>
    <col min="1" max="1" width="4.5" style="85" customWidth="1"/>
    <col min="2" max="2" width="51.1640625" style="85" customWidth="1"/>
    <col min="3" max="3" width="21" style="85" customWidth="1"/>
    <col min="4" max="4" width="19.33203125" style="85" customWidth="1"/>
    <col min="5" max="5" width="36" style="98" customWidth="1"/>
    <col min="6" max="6" width="14.1640625" style="98" customWidth="1"/>
    <col min="7" max="7" width="12.33203125" style="85" customWidth="1"/>
    <col min="8" max="8" width="63.5" style="85" customWidth="1"/>
    <col min="9" max="9" width="10.33203125" style="85" customWidth="1"/>
    <col min="10" max="10" width="47.6640625" style="85" customWidth="1"/>
    <col min="11" max="11" width="17" style="85" customWidth="1"/>
    <col min="12" max="12" width="14.33203125" style="85" customWidth="1"/>
    <col min="13" max="13" width="48.6640625" style="85" customWidth="1"/>
    <col min="14" max="14" width="26.83203125" style="85" customWidth="1"/>
    <col min="15" max="16384" width="8.83203125" style="85"/>
  </cols>
  <sheetData>
    <row r="2" spans="1:12" ht="16" x14ac:dyDescent="0.2">
      <c r="A2" s="85">
        <v>0</v>
      </c>
      <c r="B2" s="43" t="s">
        <v>22</v>
      </c>
      <c r="C2" s="32">
        <v>240</v>
      </c>
      <c r="D2" s="159" t="s">
        <v>152</v>
      </c>
      <c r="F2" s="99" t="s">
        <v>81</v>
      </c>
      <c r="H2" s="100" t="s">
        <v>23</v>
      </c>
    </row>
    <row r="3" spans="1:12" ht="16" x14ac:dyDescent="0.2">
      <c r="B3" s="43" t="s">
        <v>24</v>
      </c>
      <c r="C3" s="101">
        <f ca="1">Link!C9</f>
        <v>1.3889027705715762E-9</v>
      </c>
      <c r="D3" s="158" t="s">
        <v>150</v>
      </c>
      <c r="F3" s="58" t="s">
        <v>25</v>
      </c>
      <c r="G3" s="12">
        <v>72000000</v>
      </c>
      <c r="H3" s="13">
        <f>ROUND(Main!G3/299337.984,0)</f>
        <v>241</v>
      </c>
    </row>
    <row r="4" spans="1:12" x14ac:dyDescent="0.2">
      <c r="B4" s="44" t="s">
        <v>77</v>
      </c>
      <c r="C4" s="32">
        <v>25</v>
      </c>
      <c r="D4" s="158" t="s">
        <v>151</v>
      </c>
    </row>
    <row r="6" spans="1:12" ht="16" x14ac:dyDescent="0.2">
      <c r="C6" s="100" t="s">
        <v>73</v>
      </c>
      <c r="D6" s="102" t="s">
        <v>74</v>
      </c>
      <c r="E6" s="103" t="s">
        <v>149</v>
      </c>
      <c r="H6" s="104" t="s">
        <v>64</v>
      </c>
    </row>
    <row r="7" spans="1:12" x14ac:dyDescent="0.2">
      <c r="A7" s="85">
        <v>1</v>
      </c>
      <c r="B7" s="10" t="s">
        <v>26</v>
      </c>
      <c r="C7" s="15">
        <v>1</v>
      </c>
      <c r="D7" s="26">
        <v>2</v>
      </c>
      <c r="E7" s="105"/>
      <c r="H7" s="106" t="str">
        <f>IF(Main!C2&lt;6,"OWLT is low, consider using TCP","")</f>
        <v/>
      </c>
      <c r="I7" s="107"/>
      <c r="J7" s="107"/>
      <c r="K7" s="107"/>
      <c r="L7" s="108"/>
    </row>
    <row r="8" spans="1:12" x14ac:dyDescent="0.2">
      <c r="A8" s="85">
        <v>2</v>
      </c>
      <c r="B8" s="10" t="s">
        <v>27</v>
      </c>
      <c r="C8" s="15" t="s">
        <v>28</v>
      </c>
      <c r="D8" s="26" t="s">
        <v>29</v>
      </c>
      <c r="E8" s="105"/>
      <c r="H8" s="106" t="str">
        <f>IF(OR(Main!C24&gt;1,Main!D24&gt;1),"Aggregation time limit &gt; 1 may cause delayed transmission of small blocks","")</f>
        <v/>
      </c>
      <c r="I8" s="109"/>
      <c r="J8" s="109"/>
      <c r="K8" s="109"/>
      <c r="L8" s="110"/>
    </row>
    <row r="9" spans="1:12" x14ac:dyDescent="0.2">
      <c r="A9" s="85">
        <v>3</v>
      </c>
      <c r="B9" s="10" t="s">
        <v>30</v>
      </c>
      <c r="C9" s="15">
        <v>1113</v>
      </c>
      <c r="D9" s="26">
        <v>1113</v>
      </c>
      <c r="E9" s="105"/>
      <c r="H9" s="111" t="str">
        <f>IF(C29&gt;D19,"Number of ACKS (RS) per second may exceed Max % available for acks on the return path","")</f>
        <v/>
      </c>
      <c r="I9" s="109"/>
      <c r="J9" s="109"/>
      <c r="K9" s="109"/>
      <c r="L9" s="110"/>
    </row>
    <row r="10" spans="1:12" x14ac:dyDescent="0.2">
      <c r="A10" s="85">
        <v>4</v>
      </c>
      <c r="B10" s="11" t="s">
        <v>31</v>
      </c>
      <c r="C10" s="15">
        <v>64000</v>
      </c>
      <c r="D10" s="26">
        <v>1000</v>
      </c>
      <c r="E10" s="112"/>
      <c r="H10" s="111" t="str">
        <f ca="1">IF(C3 &gt; 10^-6, "Loss is high - Consider a small aggregation size limit to increase the success probability of receiving entire LTP blocks","")</f>
        <v/>
      </c>
      <c r="I10" s="109"/>
      <c r="J10" s="109"/>
      <c r="K10" s="109"/>
      <c r="L10" s="110"/>
    </row>
    <row r="11" spans="1:12" x14ac:dyDescent="0.2">
      <c r="A11" s="85">
        <v>5</v>
      </c>
      <c r="B11" s="11" t="s">
        <v>32</v>
      </c>
      <c r="C11" s="15">
        <v>60</v>
      </c>
      <c r="D11" s="26">
        <v>60</v>
      </c>
      <c r="E11" s="105"/>
      <c r="H11" s="111" t="str">
        <f>IF(C13&lt;C14,"Node X Aggregation Size Limit Too Low (6), either increase (6) or (7)","")</f>
        <v/>
      </c>
      <c r="I11" s="109"/>
      <c r="J11" s="109"/>
      <c r="K11" s="109"/>
      <c r="L11" s="110"/>
    </row>
    <row r="12" spans="1:12" x14ac:dyDescent="0.2">
      <c r="H12" s="111" t="str">
        <f>IF(D13&lt;D14,"Node Y Aggregation Size Limit Too Low (6), either increase (6) or (7)","")</f>
        <v/>
      </c>
      <c r="I12" s="109"/>
      <c r="J12" s="109"/>
      <c r="K12" s="109"/>
      <c r="L12" s="110"/>
    </row>
    <row r="13" spans="1:12" x14ac:dyDescent="0.2">
      <c r="A13" s="85">
        <v>6</v>
      </c>
      <c r="B13" s="10" t="s">
        <v>33</v>
      </c>
      <c r="C13" s="15">
        <v>15000</v>
      </c>
      <c r="D13" s="26">
        <v>40</v>
      </c>
      <c r="E13" s="112"/>
      <c r="F13" s="113"/>
      <c r="G13" s="114"/>
      <c r="H13" s="111" t="str">
        <f>IF(C14/C16&gt;C24,"Node X Aggregation Time Limit Too Short (10),  increase report link rate (7) or link rate allocation (8) for node Y","")</f>
        <v/>
      </c>
      <c r="I13" s="109"/>
      <c r="J13" s="109"/>
      <c r="K13" s="109"/>
      <c r="L13" s="110"/>
    </row>
    <row r="14" spans="1:12" ht="30" x14ac:dyDescent="0.2">
      <c r="B14" s="11" t="s">
        <v>78</v>
      </c>
      <c r="C14" s="13">
        <f>ROUND(Main!C16/Main!D19,0)</f>
        <v>13889</v>
      </c>
      <c r="D14" s="27">
        <f>ROUND(Main!D16/Main!C19,0)</f>
        <v>5</v>
      </c>
      <c r="E14" s="115" t="s">
        <v>118</v>
      </c>
      <c r="F14" s="113"/>
      <c r="H14" s="111" t="str">
        <f>IF(D14/D16&gt;D24,"Node Y Aggregation Time Limit Too Short (10),  increase report link rate (7) or link rate allocation (8) for node X","")</f>
        <v/>
      </c>
      <c r="I14" s="109"/>
      <c r="J14" s="109"/>
      <c r="K14" s="109"/>
      <c r="L14" s="110"/>
    </row>
    <row r="15" spans="1:12" x14ac:dyDescent="0.2">
      <c r="C15" s="116"/>
      <c r="D15" s="116"/>
      <c r="E15" s="117"/>
      <c r="H15" s="118" t="str">
        <f ca="1">IF(C40&gt;C18,"Node X cannot sustain estimated report rates for node Y after accounting for retransmission requests, need to increase allocation (8) or increase link rate (7)","")</f>
        <v/>
      </c>
      <c r="I15" s="109"/>
      <c r="J15" s="109"/>
      <c r="K15" s="109"/>
      <c r="L15" s="119"/>
    </row>
    <row r="16" spans="1:12" x14ac:dyDescent="0.2">
      <c r="A16" s="85">
        <v>7</v>
      </c>
      <c r="B16" s="11" t="s">
        <v>37</v>
      </c>
      <c r="C16" s="15">
        <v>125000</v>
      </c>
      <c r="D16" s="26">
        <v>250</v>
      </c>
      <c r="E16" s="115" t="s">
        <v>132</v>
      </c>
      <c r="H16" s="118" t="str">
        <f ca="1">IF(D40&gt;D18,"Node Y cannot sustain estimated report rates for node X after accounting for retransmission requests, need to increase allocation (8) or increase link rate (7)","")</f>
        <v/>
      </c>
      <c r="I16" s="109"/>
      <c r="J16" s="109"/>
      <c r="K16" s="109"/>
      <c r="L16" s="119"/>
    </row>
    <row r="17" spans="1:13" x14ac:dyDescent="0.2">
      <c r="A17" s="85">
        <v>8</v>
      </c>
      <c r="B17" s="11" t="s">
        <v>79</v>
      </c>
      <c r="C17" s="16">
        <v>0.01</v>
      </c>
      <c r="D17" s="57">
        <v>0.9</v>
      </c>
      <c r="E17" s="120"/>
      <c r="H17" s="118" t="str">
        <f ca="1">IF(OR(C40&lt;0,C40&gt;C18),"X-&gt;Y link cannot support report traffic for Y-&gt;X LTP session ","")</f>
        <v/>
      </c>
      <c r="I17" s="109"/>
      <c r="J17" s="109"/>
      <c r="K17" s="109"/>
      <c r="L17" s="119"/>
    </row>
    <row r="18" spans="1:13" x14ac:dyDescent="0.2">
      <c r="B18" s="11" t="s">
        <v>113</v>
      </c>
      <c r="C18" s="13">
        <f>Main!C16*Main!C17</f>
        <v>1250</v>
      </c>
      <c r="D18" s="27">
        <f>Main!D16*Main!D17</f>
        <v>225</v>
      </c>
      <c r="E18" s="121"/>
      <c r="H18" s="118" t="str">
        <f ca="1">IF(OR(D40&lt;0,D40&gt;D18),"Y-&gt;X link cannot support report traffic for X-&gt;Y LTP session ","")</f>
        <v/>
      </c>
      <c r="I18" s="109"/>
      <c r="J18" s="109"/>
      <c r="K18" s="109"/>
      <c r="L18" s="119"/>
    </row>
    <row r="19" spans="1:13" ht="19" customHeight="1" x14ac:dyDescent="0.2">
      <c r="B19" s="11" t="s">
        <v>117</v>
      </c>
      <c r="C19" s="13">
        <f>Main!C18/Main!$C$4</f>
        <v>50</v>
      </c>
      <c r="D19" s="27">
        <f>Main!D18/Main!$C$4</f>
        <v>9</v>
      </c>
      <c r="E19" s="105"/>
      <c r="F19" s="113"/>
      <c r="H19" s="122" t="str">
        <f>IF(C47&lt;0.9,"Estimated utilization for X-&gt;Y link is under 90%, adjust (12) Max number of export sessions","")</f>
        <v/>
      </c>
      <c r="I19" s="109"/>
      <c r="J19" s="109"/>
      <c r="K19" s="109"/>
      <c r="L19" s="119"/>
    </row>
    <row r="20" spans="1:13" x14ac:dyDescent="0.2">
      <c r="B20" s="123"/>
      <c r="C20" s="116"/>
      <c r="D20" s="116"/>
      <c r="H20" s="122" t="str">
        <f>IF(D47&lt;0.9,"Estimated utilization for Y-&gt;X link is under 90%, adjust (12) Max number of export sessions","")</f>
        <v/>
      </c>
      <c r="I20" s="109"/>
      <c r="J20" s="109"/>
      <c r="K20" s="109"/>
      <c r="L20" s="119"/>
    </row>
    <row r="21" spans="1:13" x14ac:dyDescent="0.2">
      <c r="A21" s="85">
        <v>9</v>
      </c>
      <c r="B21" s="11" t="s">
        <v>40</v>
      </c>
      <c r="C21" s="16">
        <v>1</v>
      </c>
      <c r="D21" s="57">
        <v>1</v>
      </c>
      <c r="E21" s="120"/>
      <c r="H21" s="118"/>
      <c r="I21" s="109"/>
      <c r="J21" s="109"/>
      <c r="K21" s="109"/>
      <c r="L21" s="119"/>
    </row>
    <row r="22" spans="1:13" x14ac:dyDescent="0.2">
      <c r="A22" s="85">
        <v>13</v>
      </c>
      <c r="B22" s="11" t="s">
        <v>56</v>
      </c>
      <c r="C22" s="13">
        <f>Main!C16*Main!C21</f>
        <v>125000</v>
      </c>
      <c r="D22" s="27">
        <f>Main!D16*Main!D21</f>
        <v>250</v>
      </c>
      <c r="E22" s="105"/>
      <c r="H22" s="118"/>
      <c r="I22" s="109"/>
      <c r="J22" s="109"/>
      <c r="K22" s="109"/>
      <c r="L22" s="119"/>
    </row>
    <row r="23" spans="1:13" x14ac:dyDescent="0.2">
      <c r="C23" s="116"/>
      <c r="D23" s="116"/>
      <c r="E23" s="124"/>
      <c r="F23" s="125"/>
      <c r="G23" s="109"/>
      <c r="H23" s="118"/>
      <c r="I23" s="109"/>
      <c r="J23" s="126"/>
      <c r="K23" s="109"/>
      <c r="L23" s="119"/>
      <c r="M23" s="109"/>
    </row>
    <row r="24" spans="1:13" x14ac:dyDescent="0.2">
      <c r="A24" s="85">
        <v>10</v>
      </c>
      <c r="B24" s="10" t="s">
        <v>41</v>
      </c>
      <c r="C24" s="26">
        <v>1</v>
      </c>
      <c r="D24" s="32">
        <v>1</v>
      </c>
      <c r="E24" s="115" t="s">
        <v>136</v>
      </c>
      <c r="F24" s="127"/>
      <c r="G24" s="109"/>
      <c r="H24" s="128"/>
      <c r="I24" s="129"/>
      <c r="J24" s="129"/>
      <c r="K24" s="129"/>
      <c r="L24" s="130"/>
      <c r="M24" s="109"/>
    </row>
    <row r="25" spans="1:13" x14ac:dyDescent="0.2">
      <c r="A25" s="85">
        <v>22</v>
      </c>
      <c r="B25" s="17" t="s">
        <v>42</v>
      </c>
      <c r="C25" s="27">
        <f>Main!C24</f>
        <v>1</v>
      </c>
      <c r="D25" s="34">
        <f>Main!D24</f>
        <v>1</v>
      </c>
      <c r="E25" s="105"/>
      <c r="F25" s="124"/>
      <c r="G25" s="109"/>
      <c r="H25" s="109"/>
      <c r="I25" s="109"/>
      <c r="J25" s="109"/>
      <c r="K25" s="109"/>
      <c r="L25" s="109"/>
      <c r="M25" s="109"/>
    </row>
    <row r="26" spans="1:13" x14ac:dyDescent="0.2">
      <c r="C26" s="116"/>
      <c r="D26" s="116"/>
      <c r="E26" s="124"/>
      <c r="F26" s="124"/>
      <c r="G26" s="109"/>
      <c r="H26" s="109"/>
      <c r="I26" s="109"/>
      <c r="J26" s="109"/>
      <c r="K26" s="109"/>
      <c r="L26" s="109"/>
      <c r="M26" s="109"/>
    </row>
    <row r="27" spans="1:13" x14ac:dyDescent="0.2">
      <c r="A27" s="85">
        <v>15</v>
      </c>
      <c r="B27" s="11" t="s">
        <v>43</v>
      </c>
      <c r="C27" s="28">
        <f>MAX(Main!C10,MIN(Main!C13,(Main!C24*Main!C22)))</f>
        <v>64000</v>
      </c>
      <c r="D27" s="33">
        <f>MAX(Main!D10,MIN(Main!D13,(Main!D24*Main!D22)))</f>
        <v>1000</v>
      </c>
      <c r="E27" s="120"/>
      <c r="F27" s="127"/>
      <c r="G27" s="109"/>
      <c r="H27" s="109"/>
      <c r="I27" s="109"/>
      <c r="J27" s="109"/>
      <c r="K27" s="109"/>
      <c r="L27" s="109"/>
      <c r="M27" s="109"/>
    </row>
    <row r="28" spans="1:13" x14ac:dyDescent="0.2">
      <c r="B28" s="11" t="s">
        <v>140</v>
      </c>
      <c r="C28" s="28">
        <f>C10/C27</f>
        <v>1</v>
      </c>
      <c r="D28" s="28">
        <f>D10/D27</f>
        <v>1</v>
      </c>
      <c r="E28" s="120"/>
      <c r="F28" s="127"/>
      <c r="G28" s="109"/>
      <c r="H28" s="109"/>
      <c r="I28" s="109"/>
      <c r="J28" s="109"/>
      <c r="K28" s="109"/>
      <c r="L28" s="109"/>
      <c r="M28" s="109"/>
    </row>
    <row r="29" spans="1:13" x14ac:dyDescent="0.2">
      <c r="A29" s="85">
        <v>16</v>
      </c>
      <c r="B29" s="11" t="s">
        <v>44</v>
      </c>
      <c r="C29" s="29">
        <f>Main!C22/Main!C27</f>
        <v>1.953125</v>
      </c>
      <c r="D29" s="35">
        <f>Main!D22/Main!D27</f>
        <v>0.25</v>
      </c>
      <c r="E29" s="105"/>
      <c r="F29" s="124"/>
      <c r="G29" s="109"/>
      <c r="H29" s="109"/>
      <c r="I29" s="109"/>
      <c r="J29" s="109"/>
      <c r="K29" s="109"/>
      <c r="L29" s="109"/>
      <c r="M29" s="109"/>
    </row>
    <row r="30" spans="1:13" x14ac:dyDescent="0.2">
      <c r="B30" s="131"/>
      <c r="C30" s="132"/>
      <c r="D30" s="132"/>
      <c r="E30" s="124"/>
      <c r="F30" s="124"/>
      <c r="G30" s="109"/>
      <c r="H30" s="109"/>
      <c r="I30" s="109"/>
      <c r="J30" s="109"/>
      <c r="K30" s="109"/>
      <c r="L30" s="109"/>
      <c r="M30" s="109"/>
    </row>
    <row r="31" spans="1:13" x14ac:dyDescent="0.2">
      <c r="A31" s="85">
        <v>11</v>
      </c>
      <c r="B31" s="10" t="s">
        <v>97</v>
      </c>
      <c r="C31" s="133">
        <f>Link!C6</f>
        <v>1800</v>
      </c>
      <c r="D31" s="134">
        <f>Link!D6</f>
        <v>1400</v>
      </c>
      <c r="E31" s="115" t="s">
        <v>141</v>
      </c>
      <c r="F31" s="124"/>
      <c r="G31" s="109"/>
      <c r="H31" s="109"/>
      <c r="I31" s="109"/>
      <c r="J31" s="109"/>
      <c r="K31" s="109"/>
      <c r="L31" s="109"/>
      <c r="M31" s="109"/>
    </row>
    <row r="32" spans="1:13" x14ac:dyDescent="0.2">
      <c r="A32" s="85">
        <v>18</v>
      </c>
      <c r="B32" s="11" t="s">
        <v>45</v>
      </c>
      <c r="C32" s="28">
        <f>(MAX(1,Main!C27/Main!C31))</f>
        <v>35.555555555555557</v>
      </c>
      <c r="D32" s="33">
        <f>(MAX(1,Main!D27/Main!D31))</f>
        <v>1</v>
      </c>
      <c r="E32" s="105"/>
      <c r="F32" s="124"/>
      <c r="G32" s="109"/>
      <c r="H32" s="109"/>
      <c r="I32" s="109"/>
      <c r="J32" s="109"/>
      <c r="K32" s="109"/>
      <c r="L32" s="109"/>
      <c r="M32" s="109"/>
    </row>
    <row r="33" spans="1:13" x14ac:dyDescent="0.2">
      <c r="B33" s="11" t="s">
        <v>46</v>
      </c>
      <c r="C33" s="28">
        <f>Main!C29*Main!C32</f>
        <v>69.444444444444443</v>
      </c>
      <c r="D33" s="33">
        <f>Main!D29*Main!D32</f>
        <v>0.25</v>
      </c>
      <c r="E33" s="120"/>
      <c r="F33" s="124"/>
      <c r="G33" s="109"/>
      <c r="H33" s="109"/>
      <c r="I33" s="109"/>
      <c r="J33" s="109"/>
      <c r="K33" s="109"/>
      <c r="L33" s="109"/>
      <c r="M33" s="109"/>
    </row>
    <row r="34" spans="1:13" ht="30" x14ac:dyDescent="0.2">
      <c r="B34" s="11" t="s">
        <v>47</v>
      </c>
      <c r="C34" s="27">
        <f ca="1">MIN(0.99,1-POWER((1-Main!$C$3),(8*(Main!C31+Main!C11))))</f>
        <v>2.0666659811263699E-5</v>
      </c>
      <c r="D34" s="34">
        <f ca="1">MIN(0.99,1-POWER((1-Main!$C$3),(8*(Main!D31+Main!D11))))</f>
        <v>1.6222252890663036E-5</v>
      </c>
      <c r="E34" s="115" t="s">
        <v>104</v>
      </c>
      <c r="F34" s="124"/>
      <c r="G34" s="109"/>
      <c r="H34" s="109"/>
      <c r="I34" s="109"/>
      <c r="J34" s="109"/>
      <c r="K34" s="109"/>
      <c r="L34" s="109"/>
      <c r="M34" s="109"/>
    </row>
    <row r="35" spans="1:13" x14ac:dyDescent="0.2">
      <c r="B35" s="11" t="s">
        <v>48</v>
      </c>
      <c r="C35" s="30">
        <f ca="1">Main!C33*Main!C34</f>
        <v>1.4351847091155347E-3</v>
      </c>
      <c r="D35" s="37">
        <f ca="1">Main!D33*Main!D34</f>
        <v>4.055563222665759E-6</v>
      </c>
      <c r="E35" s="105"/>
      <c r="F35" s="124"/>
      <c r="G35" s="109"/>
      <c r="H35" s="109"/>
      <c r="I35" s="109"/>
      <c r="J35" s="109"/>
      <c r="K35" s="109"/>
      <c r="L35" s="109"/>
      <c r="M35" s="109"/>
    </row>
    <row r="36" spans="1:13" x14ac:dyDescent="0.2">
      <c r="B36" s="11" t="s">
        <v>49</v>
      </c>
      <c r="C36" s="31">
        <f ca="1">Main!C33-Main!C35</f>
        <v>69.443009259735334</v>
      </c>
      <c r="D36" s="38">
        <f ca="1">Main!D33-Main!D35</f>
        <v>0.24999594443677733</v>
      </c>
      <c r="E36" s="105"/>
      <c r="F36" s="124"/>
      <c r="G36" s="109"/>
      <c r="H36" s="109"/>
      <c r="I36" s="109"/>
      <c r="J36" s="109"/>
      <c r="K36" s="109"/>
      <c r="L36" s="109"/>
      <c r="M36" s="109"/>
    </row>
    <row r="37" spans="1:13" x14ac:dyDescent="0.2">
      <c r="B37" s="11" t="s">
        <v>50</v>
      </c>
      <c r="C37" s="31">
        <f ca="1">Main!C36/Main!C32</f>
        <v>1.9530846354300562</v>
      </c>
      <c r="D37" s="38">
        <f ca="1">Main!D36/Main!D32</f>
        <v>0.24999594443677733</v>
      </c>
      <c r="E37" s="105"/>
      <c r="F37" s="124"/>
      <c r="G37" s="109"/>
      <c r="H37" s="135" t="str">
        <f>Main!$C$6&amp;" ltpadmin file"</f>
        <v>Node X ltpadmin file</v>
      </c>
      <c r="I37" s="109"/>
      <c r="J37" s="135" t="str">
        <f>Main!$D$6&amp;" ltpadmin file"</f>
        <v>Node Y ltpadmin file</v>
      </c>
      <c r="K37" s="109"/>
      <c r="L37" s="109"/>
    </row>
    <row r="38" spans="1:13" x14ac:dyDescent="0.2">
      <c r="A38" s="85">
        <v>19</v>
      </c>
      <c r="B38" s="17" t="s">
        <v>51</v>
      </c>
      <c r="C38" s="36">
        <f ca="1">Main!C37/Main!C29</f>
        <v>0.99997933334018874</v>
      </c>
      <c r="D38" s="39">
        <f ca="1">Main!D37/Main!D29</f>
        <v>0.99998377774710934</v>
      </c>
      <c r="E38" s="105"/>
      <c r="G38" s="109"/>
      <c r="H38" s="136" t="str">
        <f>"1 "&amp;Main!C42</f>
        <v>1 1000</v>
      </c>
      <c r="J38" s="136" t="str">
        <f>"1 "&amp;Main!D42</f>
        <v>1 1000</v>
      </c>
      <c r="K38" s="109"/>
      <c r="L38" s="109"/>
    </row>
    <row r="39" spans="1:13" x14ac:dyDescent="0.2">
      <c r="B39" s="131"/>
      <c r="C39" s="132"/>
      <c r="D39" s="132"/>
      <c r="G39" s="109"/>
      <c r="H39" s="137"/>
      <c r="J39" s="137"/>
      <c r="K39" s="109"/>
      <c r="L39" s="109"/>
    </row>
    <row r="40" spans="1:13" x14ac:dyDescent="0.2">
      <c r="A40" s="85">
        <v>17</v>
      </c>
      <c r="B40" s="17" t="s">
        <v>80</v>
      </c>
      <c r="C40" s="21">
        <f ca="1">Main!C4*Main!D29*twoSigmaNs(D34,D32)</f>
        <v>6.25</v>
      </c>
      <c r="D40" s="21">
        <f ca="1">Main!C4*Main!C29*twoSigmaNs(C34,C32)</f>
        <v>48.828125</v>
      </c>
      <c r="E40" s="115" t="s">
        <v>123</v>
      </c>
      <c r="F40" s="138"/>
      <c r="G40" s="109"/>
      <c r="H40" s="137" t="str">
        <f>"a span "&amp;Main!D7&amp;" "&amp;Main!C42&amp;" "&amp;Main!D42&amp;" "&amp;Main!C31&amp;" "&amp;Main!C13&amp;" "&amp;Main!C24&amp;" 'udplso "&amp;Main!D8&amp;":"&amp;Main!D9&amp;"'"</f>
        <v>a span 2 1000 1000 1800 15000 1 'udplso 10.0.1.3:1113'</v>
      </c>
      <c r="J40" s="137" t="str">
        <f>"a span "&amp;Main!C7&amp;" "&amp;Main!D42&amp;" "&amp;Main!C42&amp;" "&amp;Main!D31&amp;" "&amp;Main!D13&amp;" "&amp;Main!D24&amp;" 'udplso "&amp;Main!C8&amp;":"&amp;Main!C9&amp;"'"</f>
        <v>a span 1 1000 1000 1400 40 1 'udplso 10.0.0.1:1113'</v>
      </c>
      <c r="K40" s="109"/>
      <c r="L40" s="109"/>
    </row>
    <row r="41" spans="1:13" x14ac:dyDescent="0.2">
      <c r="C41" s="116"/>
      <c r="D41" s="116"/>
      <c r="G41" s="109"/>
      <c r="H41" s="137" t="str">
        <f>"s 'udplsi 0.0.0.0:"&amp;Main!C9&amp;"'"</f>
        <v>s 'udplsi 0.0.0.0:1113'</v>
      </c>
      <c r="J41" s="137" t="str">
        <f>"s 'udplsi 0.0.0.0:"&amp;Main!D9&amp;"'"</f>
        <v>s 'udplsi 0.0.0.0:1113'</v>
      </c>
      <c r="K41" s="109"/>
      <c r="L41" s="109"/>
    </row>
    <row r="42" spans="1:13" x14ac:dyDescent="0.2">
      <c r="A42" s="85">
        <v>12</v>
      </c>
      <c r="B42" s="10" t="s">
        <v>75</v>
      </c>
      <c r="C42" s="15">
        <v>1000</v>
      </c>
      <c r="D42" s="26">
        <v>1000</v>
      </c>
      <c r="E42" s="139" t="s">
        <v>107</v>
      </c>
      <c r="G42" s="109"/>
      <c r="H42" s="140" t="str">
        <f ca="1">"m maxber "&amp;TEXT(Main!$C$3,"0.#############")</f>
        <v>m maxber 0.0000000013889</v>
      </c>
      <c r="J42" s="141" t="str">
        <f ca="1">"m maxber "&amp;TEXT(Main!$C$3,"0.#############")</f>
        <v>m maxber 0.0000000013889</v>
      </c>
      <c r="K42" s="109"/>
      <c r="L42" s="109"/>
    </row>
    <row r="43" spans="1:13" x14ac:dyDescent="0.2">
      <c r="B43" s="11" t="s">
        <v>78</v>
      </c>
      <c r="C43" s="19">
        <f>MAX(2,Main!C45/Main!C27)</f>
        <v>937.5</v>
      </c>
      <c r="D43" s="28">
        <f>MAX(2,Main!D45/Main!D27)</f>
        <v>120</v>
      </c>
      <c r="E43" s="142"/>
      <c r="G43" s="109"/>
      <c r="H43" s="126" t="str">
        <f>Main!$C$6&amp;" bpadmin proto line"</f>
        <v>Node X bpadmin proto line</v>
      </c>
      <c r="J43" s="126" t="str">
        <f>Main!$D$6&amp;" bpadmin proto line"</f>
        <v>Node Y bpadmin proto line</v>
      </c>
      <c r="K43" s="109"/>
      <c r="L43" s="109"/>
    </row>
    <row r="44" spans="1:13" x14ac:dyDescent="0.2">
      <c r="B44" s="143"/>
      <c r="C44" s="116"/>
      <c r="D44" s="116"/>
      <c r="G44" s="109"/>
      <c r="H44" s="144" t="str">
        <f>"a protocol ltp "&amp;Main!C31&amp;" 100"</f>
        <v>a protocol ltp 1800 100</v>
      </c>
      <c r="J44" s="144" t="str">
        <f>"a protocol ltp "&amp;Main!D31&amp;" 100"</f>
        <v>a protocol ltp 1400 100</v>
      </c>
      <c r="K44" s="109"/>
      <c r="L44" s="109"/>
    </row>
    <row r="45" spans="1:13" x14ac:dyDescent="0.2">
      <c r="A45" s="85">
        <v>14</v>
      </c>
      <c r="B45" s="11" t="s">
        <v>52</v>
      </c>
      <c r="C45" s="13">
        <f>2*Main!C2*Main!C22</f>
        <v>60000000</v>
      </c>
      <c r="D45" s="27">
        <f>2*Main!C2*Main!D22</f>
        <v>120000</v>
      </c>
      <c r="E45" s="145"/>
      <c r="G45" s="109"/>
      <c r="H45" s="109"/>
      <c r="K45" s="109"/>
      <c r="L45" s="109"/>
    </row>
    <row r="46" spans="1:13" x14ac:dyDescent="0.2">
      <c r="B46" s="11" t="s">
        <v>53</v>
      </c>
      <c r="C46" s="13">
        <f>MIN(Main!C45,Main!C42*Main!C27)</f>
        <v>60000000</v>
      </c>
      <c r="D46" s="27">
        <f>MIN(Main!D45,Main!D42*Main!D27)</f>
        <v>120000</v>
      </c>
      <c r="E46" s="139" t="s">
        <v>125</v>
      </c>
      <c r="G46" s="109"/>
      <c r="H46" s="146" t="s">
        <v>114</v>
      </c>
    </row>
    <row r="47" spans="1:13" x14ac:dyDescent="0.2">
      <c r="A47" s="85">
        <v>21</v>
      </c>
      <c r="B47" s="17" t="s">
        <v>54</v>
      </c>
      <c r="C47" s="22">
        <f>Main!C46/Main!C45</f>
        <v>1</v>
      </c>
      <c r="D47" s="84">
        <f>Main!D46/Main!D45</f>
        <v>1</v>
      </c>
      <c r="E47" s="105"/>
    </row>
    <row r="48" spans="1:13" x14ac:dyDescent="0.2">
      <c r="A48" s="85">
        <v>20</v>
      </c>
      <c r="B48" s="11" t="s">
        <v>105</v>
      </c>
      <c r="C48" s="13">
        <f>ROUND(IF(Main!C10=0,0,Main!C46/Main!C10),0)</f>
        <v>938</v>
      </c>
      <c r="D48" s="27">
        <f>ROUND(IF(Main!D10=0,0,Main!D46/Main!D10),)</f>
        <v>120</v>
      </c>
      <c r="E48" s="105"/>
    </row>
    <row r="49" spans="1:8" x14ac:dyDescent="0.2">
      <c r="C49" s="116"/>
      <c r="D49" s="116"/>
    </row>
    <row r="50" spans="1:8" x14ac:dyDescent="0.2">
      <c r="A50" s="85">
        <v>23</v>
      </c>
      <c r="B50" s="10" t="s">
        <v>76</v>
      </c>
      <c r="C50" s="13">
        <f>Main!D42</f>
        <v>1000</v>
      </c>
      <c r="D50" s="27">
        <f>Main!C42</f>
        <v>1000</v>
      </c>
      <c r="E50" s="139" t="s">
        <v>106</v>
      </c>
    </row>
    <row r="51" spans="1:8" x14ac:dyDescent="0.2">
      <c r="B51" s="11" t="s">
        <v>55</v>
      </c>
      <c r="C51" s="13">
        <f>ROUND(MAX(1,Main!D27/Main!D31),0)</f>
        <v>1</v>
      </c>
      <c r="D51" s="27">
        <f>ROUND(MAX(1,Main!C27/Main!C31),0)</f>
        <v>36</v>
      </c>
      <c r="E51" s="139" t="s">
        <v>106</v>
      </c>
      <c r="H51" s="114"/>
    </row>
    <row r="53" spans="1:8" ht="26" x14ac:dyDescent="0.2">
      <c r="A53" s="85">
        <v>24</v>
      </c>
      <c r="B53" s="77" t="s">
        <v>145</v>
      </c>
      <c r="C53" s="80">
        <v>1200</v>
      </c>
      <c r="D53" s="147">
        <f>C53</f>
        <v>1200</v>
      </c>
      <c r="E53" s="148" t="s">
        <v>137</v>
      </c>
    </row>
    <row r="54" spans="1:8" x14ac:dyDescent="0.2">
      <c r="B54" s="11" t="s">
        <v>126</v>
      </c>
      <c r="C54" s="155">
        <v>32</v>
      </c>
      <c r="D54" s="156">
        <v>32</v>
      </c>
      <c r="E54" s="105"/>
    </row>
    <row r="55" spans="1:8" x14ac:dyDescent="0.2">
      <c r="B55" s="11" t="s">
        <v>139</v>
      </c>
      <c r="C55" s="81">
        <f>C53*C29</f>
        <v>2343.75</v>
      </c>
      <c r="D55" s="81">
        <f>D53*D29</f>
        <v>300</v>
      </c>
      <c r="E55" s="149"/>
    </row>
    <row r="56" spans="1:8" x14ac:dyDescent="0.2">
      <c r="B56" s="11" t="s">
        <v>127</v>
      </c>
      <c r="C56" s="28">
        <f>C55*C27</f>
        <v>150000000</v>
      </c>
      <c r="D56" s="28">
        <f>D55*D27</f>
        <v>300000</v>
      </c>
      <c r="E56" s="120"/>
      <c r="F56" s="114"/>
    </row>
    <row r="57" spans="1:8" x14ac:dyDescent="0.2">
      <c r="B57" s="11" t="s">
        <v>146</v>
      </c>
      <c r="C57" s="28">
        <f>IF(C53&lt;(2*H3),C55*C32*19*10+48000,(2*H3)/C29*C32*19*10+4800+(C53-(2*H3))/C29*C28*1560)</f>
        <v>2245443.9822222223</v>
      </c>
      <c r="D57" s="28">
        <f>IF(D53&lt;(2*I3),D55*D32*19*10+48000,(2*I3)/D29*D32*19*10+4800+(D53-(2*I3))/D29*D28*1560)</f>
        <v>7492800</v>
      </c>
      <c r="E57" s="105"/>
      <c r="F57" s="114"/>
    </row>
    <row r="58" spans="1:8" x14ac:dyDescent="0.2">
      <c r="B58" s="11" t="s">
        <v>147</v>
      </c>
      <c r="C58" s="28">
        <f>D57</f>
        <v>7492800</v>
      </c>
      <c r="D58" s="33">
        <f>C57</f>
        <v>2245443.9822222223</v>
      </c>
      <c r="E58" s="150" t="s">
        <v>142</v>
      </c>
      <c r="F58" s="114"/>
    </row>
    <row r="59" spans="1:8" x14ac:dyDescent="0.2">
      <c r="B59" s="11" t="s">
        <v>148</v>
      </c>
      <c r="C59" s="28">
        <f>C57+C58</f>
        <v>9738243.9822222218</v>
      </c>
      <c r="D59" s="28">
        <f>D57+D58</f>
        <v>9738243.9822222218</v>
      </c>
      <c r="E59" s="105"/>
    </row>
    <row r="60" spans="1:8" ht="28" customHeight="1" x14ac:dyDescent="0.2">
      <c r="B60" s="82" t="s">
        <v>130</v>
      </c>
      <c r="C60" s="28">
        <f>C59+C56</f>
        <v>159738243.98222223</v>
      </c>
      <c r="D60" s="28">
        <f>D59+D56</f>
        <v>10038243.982222222</v>
      </c>
      <c r="E60" s="150" t="s">
        <v>131</v>
      </c>
    </row>
    <row r="61" spans="1:8" x14ac:dyDescent="0.2">
      <c r="B61" s="11" t="s">
        <v>128</v>
      </c>
      <c r="C61" s="157">
        <v>0.3</v>
      </c>
      <c r="D61" s="157">
        <v>0.3</v>
      </c>
      <c r="E61" s="151" t="s">
        <v>138</v>
      </c>
    </row>
    <row r="62" spans="1:8" x14ac:dyDescent="0.2">
      <c r="B62" s="83" t="s">
        <v>133</v>
      </c>
      <c r="C62" s="27">
        <f>INT(C59/(C54/8)/0.4 * (1+C61))</f>
        <v>7912323</v>
      </c>
      <c r="D62" s="27">
        <f>INT(D59/(D54/8)/0.4 * (1+D61))</f>
        <v>7912323</v>
      </c>
      <c r="E62" s="115" t="s">
        <v>143</v>
      </c>
    </row>
    <row r="63" spans="1:8" ht="29" customHeight="1" x14ac:dyDescent="0.2">
      <c r="B63" s="83" t="s">
        <v>134</v>
      </c>
      <c r="C63" s="27">
        <f>INT(C62+C56/(C54/8)/0.4)</f>
        <v>101662323</v>
      </c>
      <c r="D63" s="27">
        <f>INT(D62+D56/(D54/8)/0.4)</f>
        <v>8099823</v>
      </c>
      <c r="E63" s="115" t="s">
        <v>144</v>
      </c>
    </row>
    <row r="64" spans="1:8" ht="120" x14ac:dyDescent="0.2">
      <c r="B64" s="152" t="s">
        <v>135</v>
      </c>
    </row>
    <row r="65" spans="2:11" ht="16" x14ac:dyDescent="0.2">
      <c r="B65" s="152"/>
      <c r="E65" s="153" t="s">
        <v>34</v>
      </c>
    </row>
    <row r="66" spans="2:11" ht="16" x14ac:dyDescent="0.2">
      <c r="E66" s="154" t="s">
        <v>35</v>
      </c>
    </row>
    <row r="67" spans="2:11" ht="16" x14ac:dyDescent="0.2">
      <c r="E67" s="59" t="s">
        <v>36</v>
      </c>
    </row>
    <row r="68" spans="2:11" ht="16" x14ac:dyDescent="0.2">
      <c r="E68" s="60" t="s">
        <v>38</v>
      </c>
    </row>
    <row r="69" spans="2:11" ht="16" x14ac:dyDescent="0.2">
      <c r="C69" s="5"/>
      <c r="D69" s="5"/>
      <c r="E69" s="61" t="s">
        <v>39</v>
      </c>
      <c r="F69" s="56"/>
      <c r="G69" s="5"/>
      <c r="H69" s="5"/>
      <c r="I69" s="5"/>
      <c r="J69" s="5"/>
      <c r="K69" s="5"/>
    </row>
    <row r="70" spans="2:11" x14ac:dyDescent="0.2">
      <c r="C70" s="5"/>
      <c r="D70" s="5"/>
      <c r="E70" s="56"/>
      <c r="F70" s="56"/>
      <c r="G70" s="5"/>
      <c r="H70" s="5"/>
      <c r="I70" s="5"/>
      <c r="J70" s="5"/>
      <c r="K70" s="5"/>
    </row>
    <row r="71" spans="2:11" x14ac:dyDescent="0.2">
      <c r="B71" s="5" t="s">
        <v>3</v>
      </c>
      <c r="C71" s="5"/>
      <c r="D71" s="5"/>
      <c r="E71" s="56"/>
      <c r="F71" s="56"/>
      <c r="G71" s="5"/>
      <c r="H71" s="5"/>
      <c r="I71" s="5"/>
      <c r="J71" s="5"/>
      <c r="K71" s="5"/>
    </row>
    <row r="72" spans="2:11" x14ac:dyDescent="0.2">
      <c r="B72" s="5" t="s">
        <v>4</v>
      </c>
    </row>
    <row r="73" spans="2:11" x14ac:dyDescent="0.2">
      <c r="B73" s="5" t="s">
        <v>5</v>
      </c>
    </row>
    <row r="74" spans="2:11" x14ac:dyDescent="0.2">
      <c r="B74" s="62"/>
    </row>
  </sheetData>
  <dataValidations count="24">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69"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B62:B63"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Microsoft Office User</cp:lastModifiedBy>
  <dcterms:created xsi:type="dcterms:W3CDTF">2016-04-04T06:46:52Z</dcterms:created>
  <dcterms:modified xsi:type="dcterms:W3CDTF">2022-02-22T22:43:21Z</dcterms:modified>
  <cp:category/>
</cp:coreProperties>
</file>