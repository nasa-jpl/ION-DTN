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scott\Documents\ion\DTKA\kadtn_stadler\release\dtka\assessment-tools\evaluation-workbook\"/>
    </mc:Choice>
  </mc:AlternateContent>
  <bookViews>
    <workbookView xWindow="75" yWindow="465" windowWidth="38325" windowHeight="23460" tabRatio="500" firstSheet="1" activeTab="1"/>
  </bookViews>
  <sheets>
    <sheet name="VALUES" sheetId="18" state="hidden" r:id="rId1"/>
    <sheet name="CONFIGURATION + EVALUATION" sheetId="1" r:id="rId2"/>
    <sheet name="VISUALIZATION" sheetId="17" r:id="rId3"/>
    <sheet name="COMPARE" sheetId="22" r:id="rId4"/>
  </sheets>
  <definedNames>
    <definedName name="BLOCK_SIZE">'CONFIGURATION + EVALUATION'!$D$50</definedName>
    <definedName name="CODE_RATE">'CONFIGURATION + EVALUATION'!$D$21</definedName>
    <definedName name="COMPILATION_INTERVAL">'CONFIGURATION + EVALUATION'!$D$8</definedName>
    <definedName name="COMPILATION_INTERVAL_TYPE">'CONFIGURATION + EVALUATION'!$E$9</definedName>
    <definedName name="COMPROMISING_TOLERANCE">'CONFIGURATION + EVALUATION'!$D$33</definedName>
    <definedName name="COMPROMISING_TOLERANCE_CHART" localSheetId="3">OFFSET(COMPARE!$C$22,,1,1,COUNT(COMPARE!$C$22:'COMPARE'!$WZE$22))</definedName>
    <definedName name="COMPROMISING_TOLERANCE_CHART">OFFSET(#REF!,,1,1,COUNT(#REF!:#REF!))</definedName>
    <definedName name="COMPROMISING_TOLERANCE_PER">'CONFIGURATION + EVALUATION'!$D$32</definedName>
    <definedName name="COMPROMISING_TOLERANCE_PER_CHART" localSheetId="3">OFFSET(COMPARE!$C$21,,1,1,COUNT(COMPARE!$C$21:'COMPARE'!$WZE$21))</definedName>
    <definedName name="COMPROMISING_TOLERANCE_PER_CHART">OFFSET(#REF!,,1,1,COUNT(#REF!:#REF!))</definedName>
    <definedName name="DATA_RATE_CHART" localSheetId="3">OFFSET(COMPARE!$C$103,,1,1,COUNT(COMPARE!$C$103:'COMPARE'!$WZE$103))</definedName>
    <definedName name="DATA_RATE_CHART">OFFSET(#REF!,,1,1,COUNT(#REF!:#REF!))</definedName>
    <definedName name="DTKA_FEC_K">'CONFIGURATION + EVALUATION'!$D$12</definedName>
    <definedName name="DTKA_FEC_M">'CONFIGURATION + EVALUATION'!$D$14</definedName>
    <definedName name="DTKA_FEC_M_PARITY">'CONFIGURATION + EVALUATION'!$D$13</definedName>
    <definedName name="DTKA_FEC_M_TYPE">'CONFIGURATION + EVALUATION'!$E$13</definedName>
    <definedName name="DTKA_FEC_N">'CONFIGURATION + EVALUATION'!$D$16</definedName>
    <definedName name="DTKA_FEC_OVERLAP">'CONFIGURATION + EVALUATION'!$D$15</definedName>
    <definedName name="DTKA_FEC_Q">'CONFIGURATION + EVALUATION'!$D$17</definedName>
    <definedName name="DTKA_NUM_AUTHS">'CONFIGURATION + EVALUATION'!$D$11</definedName>
    <definedName name="DTKA_SHARE_BACKUP">'CONFIGURATION + EVALUATION'!$D$15</definedName>
    <definedName name="EVALUATION_RESULT">'CONFIGURATION + EVALUATION'!$D$20:$D$33</definedName>
    <definedName name="FAILING_NODES">'CONFIGURATION + EVALUATION'!$D$29</definedName>
    <definedName name="FAILING_NODES_BEST">'CONFIGURATION + EVALUATION'!$D$31</definedName>
    <definedName name="FAILING_TOLERANCE_BEST_CHART" localSheetId="3">OFFSET(COMPARE!$C$20,,1,1,COUNT(COMPARE!$C$20:'COMPARE'!$WZE$20))</definedName>
    <definedName name="FAILING_TOLERANCE_BEST_CHART">OFFSET(#REF!,,1,1,COUNT(#REF!:#REF!))</definedName>
    <definedName name="FAILING_TOLERANCE_BEST_PER">'CONFIGURATION + EVALUATION'!$D$30</definedName>
    <definedName name="FAILING_TOLERANCE_BEST_PER_CHART" localSheetId="3">OFFSET(COMPARE!$C$19,,1,1,COUNT(COMPARE!$C$19:'COMPARE'!$WZE$19))</definedName>
    <definedName name="FAILING_TOLERANCE_BEST_PER_CHART">OFFSET(#REF!,,1,1,COUNT(#REF!:#REF!))</definedName>
    <definedName name="FAILING_TOLERANCE_PER">'CONFIGURATION + EVALUATION'!$D$28</definedName>
    <definedName name="FAILING_TOLERANCE_WORST_CHART" localSheetId="3">OFFSET(COMPARE!$C$18,,1,1,COUNT(COMPARE!$C$18:'COMPARE'!$WZE$18))</definedName>
    <definedName name="FAILING_TOLERANCE_WORST_CHART">OFFSET(#REF!,,1,1,COUNT(#REF!:#REF!))</definedName>
    <definedName name="FAILING_TOLERANCE_WORST_PER_CHART" localSheetId="3">OFFSET(COMPARE!$C$17,,1,1,COUNT(COMPARE!$C$17:'COMPARE'!$WZE$17))</definedName>
    <definedName name="FAILING_TOLERANCE_WORST_PER_CHART">OFFSET(#REF!,,1,1,COUNT(#REF!:#REF!))</definedName>
    <definedName name="KEY_GEN_INTERVAL">'CONFIGURATION + EVALUATION'!$D$7</definedName>
    <definedName name="KEY_GEN_INTERVAL_TYPE">'CONFIGURATION + EVALUATION'!$E$6</definedName>
    <definedName name="KEY_SIZE">'CONFIGURATION + EVALUATION'!$D$5</definedName>
    <definedName name="NOT_DISTRIBUTED">'CONFIGURATION + EVALUATION'!$D$25</definedName>
    <definedName name="PARAMETER">'CONFIGURATION + EVALUATION'!$D$11:$D$12,'CONFIGURATION + EVALUATION'!$D$14:$D$17</definedName>
    <definedName name="PAYLOAD">'CONFIGURATION + EVALUATION'!$L$51</definedName>
    <definedName name="RECORD_SIZE">'CONFIGURATION + EVALUATION'!$D$40</definedName>
    <definedName name="SIZE">'CONFIGURATION + EVALUATION'!$D$35:$D$41,'CONFIGURATION + EVALUATION'!$D$43:$D$46,'CONFIGURATION + EVALUATION'!$D$48:$D$50,'CONFIGURATION + EVALUATION'!$D$52:$D$57</definedName>
    <definedName name="SYSTEM">'CONFIGURATION + EVALUATION'!$D$3</definedName>
    <definedName name="SYSTEN">'CONFIGURATION + EVALUATION'!$D$3</definedName>
    <definedName name="USER_NODES">'CONFIGURATION + EVALUATION'!$D$4</definedName>
  </definedNames>
  <calcPr calcId="162913" concurrentCalc="0"/>
  <extLst>
    <ext xmlns:x14="http://schemas.microsoft.com/office/spreadsheetml/2009/9/main" uri="{79F54976-1DA5-4618-B147-4CDE4B953A38}">
      <x14:workbookPr defaultImageDpi="330"/>
    </ext>
    <ext xmlns:mx="http://schemas.microsoft.com/office/mac/excel/2008/main" uri="{7523E5D3-25F3-A5E0-1632-64F254C22452}">
      <mx:ArchID Flags="2"/>
    </ext>
  </extLst>
</workbook>
</file>

<file path=xl/calcChain.xml><?xml version="1.0" encoding="utf-8"?>
<calcChain xmlns="http://schemas.openxmlformats.org/spreadsheetml/2006/main">
  <c r="D81" i="17" l="1"/>
  <c r="E81" i="17"/>
  <c r="F81" i="17"/>
  <c r="G81" i="17"/>
  <c r="H81" i="17"/>
  <c r="I81" i="17"/>
  <c r="J81" i="17"/>
  <c r="K81" i="17"/>
  <c r="L81" i="17"/>
  <c r="M81" i="17"/>
  <c r="N81" i="17"/>
  <c r="O81" i="17"/>
  <c r="P81" i="17"/>
  <c r="Q81" i="17"/>
  <c r="R81" i="17"/>
  <c r="S81" i="17"/>
  <c r="T81" i="17"/>
  <c r="U81" i="17"/>
  <c r="V81" i="17"/>
  <c r="W81" i="17"/>
  <c r="N82" i="17"/>
  <c r="O82" i="17"/>
  <c r="P82" i="17"/>
  <c r="Q82" i="17"/>
  <c r="R82" i="17"/>
  <c r="S82" i="17"/>
  <c r="T82" i="17"/>
  <c r="U82" i="17"/>
  <c r="V82" i="17"/>
  <c r="W82" i="17"/>
  <c r="X82" i="17"/>
  <c r="Y82" i="17"/>
  <c r="Z82" i="17"/>
  <c r="AA82" i="17"/>
  <c r="AB82" i="17"/>
  <c r="AC82" i="17"/>
  <c r="AD82" i="17"/>
  <c r="AE82" i="17"/>
  <c r="AF82" i="17"/>
  <c r="AG82" i="17"/>
  <c r="X83" i="17"/>
  <c r="Y83" i="17"/>
  <c r="Z83" i="17"/>
  <c r="AA83" i="17"/>
  <c r="AB83" i="17"/>
  <c r="AC83" i="17"/>
  <c r="AD83" i="17"/>
  <c r="AE83" i="17"/>
  <c r="AF83" i="17"/>
  <c r="AG83" i="17"/>
  <c r="AH83" i="17"/>
  <c r="AI83" i="17"/>
  <c r="AJ83" i="17"/>
  <c r="AK83" i="17"/>
  <c r="AL83" i="17"/>
  <c r="AM83" i="17"/>
  <c r="AN83" i="17"/>
  <c r="AO83" i="17"/>
  <c r="AP83" i="17"/>
  <c r="AQ83" i="17"/>
  <c r="AH84" i="17"/>
  <c r="AI84" i="17"/>
  <c r="AJ84" i="17"/>
  <c r="AK84" i="17"/>
  <c r="AL84" i="17"/>
  <c r="AM84" i="17"/>
  <c r="AN84" i="17"/>
  <c r="AO84" i="17"/>
  <c r="AP84" i="17"/>
  <c r="AQ84" i="17"/>
  <c r="AR84" i="17"/>
  <c r="AS84" i="17"/>
  <c r="AT84" i="17"/>
  <c r="AU84" i="17"/>
  <c r="AV84" i="17"/>
  <c r="AW84" i="17"/>
  <c r="AX84" i="17"/>
  <c r="AY84" i="17"/>
  <c r="AZ84" i="17"/>
  <c r="BA84" i="17"/>
  <c r="AR85" i="17"/>
  <c r="AS85" i="17"/>
  <c r="AT85" i="17"/>
  <c r="AU85" i="17"/>
  <c r="AV85" i="17"/>
  <c r="AW85" i="17"/>
  <c r="AX85" i="17"/>
  <c r="AY85" i="17"/>
  <c r="AZ85" i="17"/>
  <c r="BA85" i="17"/>
  <c r="BB85" i="17"/>
  <c r="BC85" i="17"/>
  <c r="BD85" i="17"/>
  <c r="BE85" i="17"/>
  <c r="BF85" i="17"/>
  <c r="BG85" i="17"/>
  <c r="BH85" i="17"/>
  <c r="BI85" i="17"/>
  <c r="BJ85" i="17"/>
  <c r="BK85" i="17"/>
  <c r="D86" i="17"/>
  <c r="E86" i="17"/>
  <c r="F86" i="17"/>
  <c r="G86" i="17"/>
  <c r="H86" i="17"/>
  <c r="I86" i="17"/>
  <c r="J86" i="17"/>
  <c r="K86" i="17"/>
  <c r="L86" i="17"/>
  <c r="M86" i="17"/>
  <c r="BB86" i="17"/>
  <c r="BC86" i="17"/>
  <c r="BD86" i="17"/>
  <c r="BE86" i="17"/>
  <c r="BF86" i="17"/>
  <c r="BG86" i="17"/>
  <c r="BH86" i="17"/>
  <c r="BI86" i="17"/>
  <c r="BJ86" i="17"/>
  <c r="BK86" i="17"/>
  <c r="C98" i="17"/>
  <c r="C99" i="17"/>
  <c r="C96" i="17"/>
  <c r="C97" i="17"/>
  <c r="C94" i="17"/>
  <c r="C95" i="17"/>
  <c r="C92" i="17"/>
  <c r="C93" i="17"/>
  <c r="D87" i="17"/>
  <c r="E87" i="17"/>
  <c r="F87" i="17"/>
  <c r="G87" i="17"/>
  <c r="H87" i="17"/>
  <c r="I87" i="17"/>
  <c r="J87" i="17"/>
  <c r="K87" i="17"/>
  <c r="L87" i="17"/>
  <c r="M87" i="17"/>
  <c r="N87" i="17"/>
  <c r="O87" i="17"/>
  <c r="P87" i="17"/>
  <c r="Q87" i="17"/>
  <c r="R87" i="17"/>
  <c r="S87" i="17"/>
  <c r="T87" i="17"/>
  <c r="U87" i="17"/>
  <c r="V87" i="17"/>
  <c r="W87" i="17"/>
  <c r="X87" i="17"/>
  <c r="Y87" i="17"/>
  <c r="Z87" i="17"/>
  <c r="AA87" i="17"/>
  <c r="AB87" i="17"/>
  <c r="AC87" i="17"/>
  <c r="AD87" i="17"/>
  <c r="AE87" i="17"/>
  <c r="AF87" i="17"/>
  <c r="AG87" i="17"/>
  <c r="AH87" i="17"/>
  <c r="AI87" i="17"/>
  <c r="AJ87" i="17"/>
  <c r="AK87" i="17"/>
  <c r="AL87" i="17"/>
  <c r="AM87" i="17"/>
  <c r="AN87" i="17"/>
  <c r="AO87" i="17"/>
  <c r="AP87" i="17"/>
  <c r="AQ87" i="17"/>
  <c r="AR87" i="17"/>
  <c r="AS87" i="17"/>
  <c r="AT87" i="17"/>
  <c r="AU87" i="17"/>
  <c r="AV87" i="17"/>
  <c r="AW87" i="17"/>
  <c r="AX87" i="17"/>
  <c r="AY87" i="17"/>
  <c r="AZ87" i="17"/>
  <c r="BA87" i="17"/>
  <c r="BB87" i="17"/>
  <c r="BC87" i="17"/>
  <c r="BD87" i="17"/>
  <c r="BE87" i="17"/>
  <c r="BF87" i="17"/>
  <c r="BG87" i="17"/>
  <c r="BH87" i="17"/>
  <c r="BI87" i="17"/>
  <c r="BJ87" i="17"/>
  <c r="BK87" i="17"/>
  <c r="C87" i="17"/>
  <c r="C91" i="17"/>
  <c r="C89" i="17"/>
  <c r="C90" i="17"/>
  <c r="C88" i="17"/>
  <c r="BK80" i="17"/>
  <c r="BJ80" i="17"/>
  <c r="BI80" i="17"/>
  <c r="BH80" i="17"/>
  <c r="BG80" i="17"/>
  <c r="BF80" i="17"/>
  <c r="BE80" i="17"/>
  <c r="BD80" i="17"/>
  <c r="BC80" i="17"/>
  <c r="BB80" i="17"/>
  <c r="BA80" i="17"/>
  <c r="AZ80" i="17"/>
  <c r="AY80" i="17"/>
  <c r="AX80" i="17"/>
  <c r="AW80" i="17"/>
  <c r="AV80" i="17"/>
  <c r="AU80" i="17"/>
  <c r="AT80" i="17"/>
  <c r="AS80" i="17"/>
  <c r="AR80" i="17"/>
  <c r="AQ80" i="17"/>
  <c r="AP80" i="17"/>
  <c r="AO80" i="17"/>
  <c r="AN80" i="17"/>
  <c r="AM80" i="17"/>
  <c r="AL80" i="17"/>
  <c r="AK80" i="17"/>
  <c r="AJ80" i="17"/>
  <c r="AI80" i="17"/>
  <c r="AH80" i="17"/>
  <c r="AG80" i="17"/>
  <c r="AF80" i="17"/>
  <c r="AE80" i="17"/>
  <c r="AD80" i="17"/>
  <c r="AC80" i="17"/>
  <c r="AB80" i="17"/>
  <c r="AA80" i="17"/>
  <c r="Z80" i="17"/>
  <c r="Y80" i="17"/>
  <c r="X80" i="17"/>
  <c r="W80" i="17"/>
  <c r="V80" i="17"/>
  <c r="U80" i="17"/>
  <c r="T80" i="17"/>
  <c r="S80" i="17"/>
  <c r="R80" i="17"/>
  <c r="Q80" i="17"/>
  <c r="P80" i="17"/>
  <c r="O80" i="17"/>
  <c r="N80" i="17"/>
  <c r="M80" i="17"/>
  <c r="L80" i="17"/>
  <c r="K80" i="17"/>
  <c r="J80" i="17"/>
  <c r="I80" i="17"/>
  <c r="H80" i="17"/>
  <c r="G80" i="17"/>
  <c r="F80" i="17"/>
  <c r="E80" i="17"/>
  <c r="D80" i="17"/>
  <c r="B76" i="17"/>
  <c r="D56" i="17"/>
  <c r="E56" i="17"/>
  <c r="F56" i="17"/>
  <c r="G56" i="17"/>
  <c r="H56" i="17"/>
  <c r="I56" i="17"/>
  <c r="J56" i="17"/>
  <c r="K56" i="17"/>
  <c r="L56" i="17"/>
  <c r="M56" i="17"/>
  <c r="N56" i="17"/>
  <c r="O56" i="17"/>
  <c r="P56" i="17"/>
  <c r="Q56" i="17"/>
  <c r="R56" i="17"/>
  <c r="S56" i="17"/>
  <c r="T56" i="17"/>
  <c r="U56" i="17"/>
  <c r="V56" i="17"/>
  <c r="W56" i="17"/>
  <c r="N57" i="17"/>
  <c r="O57" i="17"/>
  <c r="P57" i="17"/>
  <c r="Q57" i="17"/>
  <c r="R57" i="17"/>
  <c r="S57" i="17"/>
  <c r="T57" i="17"/>
  <c r="U57" i="17"/>
  <c r="V57" i="17"/>
  <c r="W57" i="17"/>
  <c r="X57" i="17"/>
  <c r="Y57" i="17"/>
  <c r="Z57" i="17"/>
  <c r="AA57" i="17"/>
  <c r="AB57" i="17"/>
  <c r="AC57" i="17"/>
  <c r="AD57" i="17"/>
  <c r="AE57" i="17"/>
  <c r="AF57" i="17"/>
  <c r="AG57" i="17"/>
  <c r="X58" i="17"/>
  <c r="Y58" i="17"/>
  <c r="Z58" i="17"/>
  <c r="AA58" i="17"/>
  <c r="AB58" i="17"/>
  <c r="AC58" i="17"/>
  <c r="AD58" i="17"/>
  <c r="AE58" i="17"/>
  <c r="AF58" i="17"/>
  <c r="AG58" i="17"/>
  <c r="AH58" i="17"/>
  <c r="AI58" i="17"/>
  <c r="AJ58" i="17"/>
  <c r="AK58" i="17"/>
  <c r="AL58" i="17"/>
  <c r="AM58" i="17"/>
  <c r="AN58" i="17"/>
  <c r="AO58" i="17"/>
  <c r="AP58" i="17"/>
  <c r="AQ58" i="17"/>
  <c r="AH59" i="17"/>
  <c r="AI59" i="17"/>
  <c r="AJ59" i="17"/>
  <c r="AK59" i="17"/>
  <c r="AL59" i="17"/>
  <c r="AM59" i="17"/>
  <c r="AN59" i="17"/>
  <c r="AO59" i="17"/>
  <c r="AP59" i="17"/>
  <c r="AQ59" i="17"/>
  <c r="AR59" i="17"/>
  <c r="AS59" i="17"/>
  <c r="AT59" i="17"/>
  <c r="AU59" i="17"/>
  <c r="AV59" i="17"/>
  <c r="AW59" i="17"/>
  <c r="AX59" i="17"/>
  <c r="AY59" i="17"/>
  <c r="AZ59" i="17"/>
  <c r="BA59" i="17"/>
  <c r="AR60" i="17"/>
  <c r="AS60" i="17"/>
  <c r="AT60" i="17"/>
  <c r="AU60" i="17"/>
  <c r="AV60" i="17"/>
  <c r="AW60" i="17"/>
  <c r="AX60" i="17"/>
  <c r="AY60" i="17"/>
  <c r="AZ60" i="17"/>
  <c r="BA60" i="17"/>
  <c r="BB60" i="17"/>
  <c r="BC60" i="17"/>
  <c r="BD60" i="17"/>
  <c r="BE60" i="17"/>
  <c r="BF60" i="17"/>
  <c r="BG60" i="17"/>
  <c r="BH60" i="17"/>
  <c r="BI60" i="17"/>
  <c r="BJ60" i="17"/>
  <c r="BK60" i="17"/>
  <c r="D61" i="17"/>
  <c r="E61" i="17"/>
  <c r="F61" i="17"/>
  <c r="G61" i="17"/>
  <c r="H61" i="17"/>
  <c r="I61" i="17"/>
  <c r="J61" i="17"/>
  <c r="K61" i="17"/>
  <c r="L61" i="17"/>
  <c r="M61" i="17"/>
  <c r="BB61" i="17"/>
  <c r="BC61" i="17"/>
  <c r="BD61" i="17"/>
  <c r="BE61" i="17"/>
  <c r="BF61" i="17"/>
  <c r="BG61" i="17"/>
  <c r="BH61" i="17"/>
  <c r="BI61" i="17"/>
  <c r="BJ61" i="17"/>
  <c r="BK61" i="17"/>
  <c r="C73" i="17"/>
  <c r="C74" i="17"/>
  <c r="C71" i="17"/>
  <c r="C72" i="17"/>
  <c r="C69" i="17"/>
  <c r="C70" i="17"/>
  <c r="C67" i="17"/>
  <c r="C68" i="17"/>
  <c r="D62" i="17"/>
  <c r="E62" i="17"/>
  <c r="F62" i="17"/>
  <c r="G62" i="17"/>
  <c r="H62" i="17"/>
  <c r="I62" i="17"/>
  <c r="J62" i="17"/>
  <c r="K62" i="17"/>
  <c r="L62" i="17"/>
  <c r="M62" i="17"/>
  <c r="N62" i="17"/>
  <c r="O62" i="17"/>
  <c r="P62" i="17"/>
  <c r="Q62" i="17"/>
  <c r="R62" i="17"/>
  <c r="S62" i="17"/>
  <c r="T62" i="17"/>
  <c r="U62" i="17"/>
  <c r="V62" i="17"/>
  <c r="W62" i="17"/>
  <c r="X62" i="17"/>
  <c r="Y62" i="17"/>
  <c r="Z62" i="17"/>
  <c r="AA62" i="17"/>
  <c r="AB62" i="17"/>
  <c r="AC62" i="17"/>
  <c r="AD62" i="17"/>
  <c r="AE62" i="17"/>
  <c r="AF62" i="17"/>
  <c r="AG62" i="17"/>
  <c r="AH62" i="17"/>
  <c r="AI62" i="17"/>
  <c r="AJ62" i="17"/>
  <c r="AK62" i="17"/>
  <c r="AL62" i="17"/>
  <c r="AM62" i="17"/>
  <c r="AN62" i="17"/>
  <c r="AO62" i="17"/>
  <c r="AP62" i="17"/>
  <c r="AQ62" i="17"/>
  <c r="AR62" i="17"/>
  <c r="AS62" i="17"/>
  <c r="AT62" i="17"/>
  <c r="AU62" i="17"/>
  <c r="AV62" i="17"/>
  <c r="AW62" i="17"/>
  <c r="AX62" i="17"/>
  <c r="AY62" i="17"/>
  <c r="AZ62" i="17"/>
  <c r="BA62" i="17"/>
  <c r="BB62" i="17"/>
  <c r="BC62" i="17"/>
  <c r="BD62" i="17"/>
  <c r="BE62" i="17"/>
  <c r="BF62" i="17"/>
  <c r="BG62" i="17"/>
  <c r="BH62" i="17"/>
  <c r="BI62" i="17"/>
  <c r="BJ62" i="17"/>
  <c r="BK62" i="17"/>
  <c r="C62" i="17"/>
  <c r="C66" i="17"/>
  <c r="C64" i="17"/>
  <c r="C65" i="17"/>
  <c r="C63" i="17"/>
  <c r="BK55" i="17"/>
  <c r="BJ55" i="17"/>
  <c r="BI55" i="17"/>
  <c r="BH55" i="17"/>
  <c r="BG55" i="17"/>
  <c r="BF55" i="17"/>
  <c r="BE55" i="17"/>
  <c r="BD55" i="17"/>
  <c r="BC55" i="17"/>
  <c r="BB55" i="17"/>
  <c r="BA55" i="17"/>
  <c r="AZ55" i="17"/>
  <c r="AY55" i="17"/>
  <c r="AX55" i="17"/>
  <c r="AW55" i="17"/>
  <c r="AV55" i="17"/>
  <c r="AU55" i="17"/>
  <c r="AT55" i="17"/>
  <c r="AS55" i="17"/>
  <c r="AR55" i="17"/>
  <c r="AQ55" i="17"/>
  <c r="AP55" i="17"/>
  <c r="AO55" i="17"/>
  <c r="AN55" i="17"/>
  <c r="AM55" i="17"/>
  <c r="AL55" i="17"/>
  <c r="AK55" i="17"/>
  <c r="AJ55" i="17"/>
  <c r="AI55" i="17"/>
  <c r="AH55" i="17"/>
  <c r="AG55" i="17"/>
  <c r="AF55" i="17"/>
  <c r="AE55" i="17"/>
  <c r="AD55" i="17"/>
  <c r="AC55" i="17"/>
  <c r="AB55" i="17"/>
  <c r="AA55" i="17"/>
  <c r="Z55" i="17"/>
  <c r="Y55" i="17"/>
  <c r="X55" i="17"/>
  <c r="W55" i="17"/>
  <c r="V55" i="17"/>
  <c r="U55" i="17"/>
  <c r="T55" i="17"/>
  <c r="S55" i="17"/>
  <c r="R55" i="17"/>
  <c r="Q55" i="17"/>
  <c r="P55" i="17"/>
  <c r="O55" i="17"/>
  <c r="N55" i="17"/>
  <c r="M55" i="17"/>
  <c r="L55" i="17"/>
  <c r="K55" i="17"/>
  <c r="J55" i="17"/>
  <c r="I55" i="17"/>
  <c r="H55" i="17"/>
  <c r="G55" i="17"/>
  <c r="F55" i="17"/>
  <c r="E55" i="17"/>
  <c r="D55" i="17"/>
  <c r="B51" i="17"/>
  <c r="D31" i="17"/>
  <c r="E31" i="17"/>
  <c r="F31" i="17"/>
  <c r="G31" i="17"/>
  <c r="H31" i="17"/>
  <c r="I31" i="17"/>
  <c r="J31" i="17"/>
  <c r="K31" i="17"/>
  <c r="L31" i="17"/>
  <c r="M31" i="17"/>
  <c r="N31" i="17"/>
  <c r="O31" i="17"/>
  <c r="P31" i="17"/>
  <c r="Q31" i="17"/>
  <c r="R31" i="17"/>
  <c r="S31" i="17"/>
  <c r="T31" i="17"/>
  <c r="U31" i="17"/>
  <c r="V31" i="17"/>
  <c r="W31" i="17"/>
  <c r="N32" i="17"/>
  <c r="O32" i="17"/>
  <c r="P32" i="17"/>
  <c r="Q32" i="17"/>
  <c r="R32" i="17"/>
  <c r="S32" i="17"/>
  <c r="T32" i="17"/>
  <c r="U32" i="17"/>
  <c r="V32" i="17"/>
  <c r="W32" i="17"/>
  <c r="X32" i="17"/>
  <c r="Y32" i="17"/>
  <c r="Z32" i="17"/>
  <c r="AA32" i="17"/>
  <c r="AB32" i="17"/>
  <c r="AC32" i="17"/>
  <c r="AD32" i="17"/>
  <c r="AE32" i="17"/>
  <c r="AF32" i="17"/>
  <c r="AG32" i="17"/>
  <c r="X33" i="17"/>
  <c r="Y33" i="17"/>
  <c r="Z33" i="17"/>
  <c r="AA33" i="17"/>
  <c r="AB33" i="17"/>
  <c r="AC33" i="17"/>
  <c r="AD33" i="17"/>
  <c r="AE33" i="17"/>
  <c r="AF33" i="17"/>
  <c r="AG33" i="17"/>
  <c r="AH33" i="17"/>
  <c r="AI33" i="17"/>
  <c r="AJ33" i="17"/>
  <c r="AK33" i="17"/>
  <c r="AL33" i="17"/>
  <c r="AM33" i="17"/>
  <c r="AN33" i="17"/>
  <c r="AO33" i="17"/>
  <c r="AP33" i="17"/>
  <c r="AQ33" i="17"/>
  <c r="AH34" i="17"/>
  <c r="AI34" i="17"/>
  <c r="AJ34" i="17"/>
  <c r="AK34" i="17"/>
  <c r="AL34" i="17"/>
  <c r="AM34" i="17"/>
  <c r="AN34" i="17"/>
  <c r="AO34" i="17"/>
  <c r="AP34" i="17"/>
  <c r="AQ34" i="17"/>
  <c r="AR34" i="17"/>
  <c r="AS34" i="17"/>
  <c r="AT34" i="17"/>
  <c r="AU34" i="17"/>
  <c r="AV34" i="17"/>
  <c r="AW34" i="17"/>
  <c r="AX34" i="17"/>
  <c r="AY34" i="17"/>
  <c r="AZ34" i="17"/>
  <c r="BA34" i="17"/>
  <c r="AR35" i="17"/>
  <c r="AS35" i="17"/>
  <c r="AT35" i="17"/>
  <c r="AU35" i="17"/>
  <c r="AV35" i="17"/>
  <c r="AW35" i="17"/>
  <c r="AX35" i="17"/>
  <c r="AY35" i="17"/>
  <c r="AZ35" i="17"/>
  <c r="BA35" i="17"/>
  <c r="BB35" i="17"/>
  <c r="BC35" i="17"/>
  <c r="BD35" i="17"/>
  <c r="BE35" i="17"/>
  <c r="BF35" i="17"/>
  <c r="BG35" i="17"/>
  <c r="BH35" i="17"/>
  <c r="BI35" i="17"/>
  <c r="BJ35" i="17"/>
  <c r="BK35" i="17"/>
  <c r="D36" i="17"/>
  <c r="E36" i="17"/>
  <c r="F36" i="17"/>
  <c r="G36" i="17"/>
  <c r="H36" i="17"/>
  <c r="I36" i="17"/>
  <c r="J36" i="17"/>
  <c r="K36" i="17"/>
  <c r="L36" i="17"/>
  <c r="M36" i="17"/>
  <c r="BB36" i="17"/>
  <c r="BC36" i="17"/>
  <c r="BD36" i="17"/>
  <c r="BE36" i="17"/>
  <c r="BF36" i="17"/>
  <c r="BG36" i="17"/>
  <c r="BH36" i="17"/>
  <c r="BI36" i="17"/>
  <c r="BJ36" i="17"/>
  <c r="BK36" i="17"/>
  <c r="C48" i="17"/>
  <c r="C49" i="17"/>
  <c r="C46" i="17"/>
  <c r="C47" i="17"/>
  <c r="C44" i="17"/>
  <c r="C45" i="17"/>
  <c r="C42" i="17"/>
  <c r="C43" i="17"/>
  <c r="D37" i="17"/>
  <c r="E37" i="17"/>
  <c r="F37" i="17"/>
  <c r="G37" i="17"/>
  <c r="H37" i="17"/>
  <c r="I37" i="17"/>
  <c r="J37" i="17"/>
  <c r="K37" i="17"/>
  <c r="L37" i="17"/>
  <c r="M37" i="17"/>
  <c r="N37" i="17"/>
  <c r="O37" i="17"/>
  <c r="P37" i="17"/>
  <c r="Q37" i="17"/>
  <c r="R37" i="17"/>
  <c r="S37" i="17"/>
  <c r="T37" i="17"/>
  <c r="U37" i="17"/>
  <c r="V37" i="17"/>
  <c r="W37" i="17"/>
  <c r="X37" i="17"/>
  <c r="Y37" i="17"/>
  <c r="Z37" i="17"/>
  <c r="AA37" i="17"/>
  <c r="AB37" i="17"/>
  <c r="AC37" i="17"/>
  <c r="AD37" i="17"/>
  <c r="AE37" i="17"/>
  <c r="AF37" i="17"/>
  <c r="AG37" i="17"/>
  <c r="AH37" i="17"/>
  <c r="AI37" i="17"/>
  <c r="AJ37" i="17"/>
  <c r="AK37" i="17"/>
  <c r="AL37" i="17"/>
  <c r="AM37" i="17"/>
  <c r="AN37" i="17"/>
  <c r="AO37" i="17"/>
  <c r="AP37" i="17"/>
  <c r="AQ37" i="17"/>
  <c r="AR37" i="17"/>
  <c r="AS37" i="17"/>
  <c r="AT37" i="17"/>
  <c r="AU37" i="17"/>
  <c r="AV37" i="17"/>
  <c r="AW37" i="17"/>
  <c r="AX37" i="17"/>
  <c r="AY37" i="17"/>
  <c r="AZ37" i="17"/>
  <c r="BA37" i="17"/>
  <c r="BB37" i="17"/>
  <c r="BC37" i="17"/>
  <c r="BD37" i="17"/>
  <c r="BE37" i="17"/>
  <c r="BF37" i="17"/>
  <c r="BG37" i="17"/>
  <c r="BH37" i="17"/>
  <c r="BI37" i="17"/>
  <c r="BJ37" i="17"/>
  <c r="BK37" i="17"/>
  <c r="C37" i="17"/>
  <c r="C41" i="17"/>
  <c r="C39" i="17"/>
  <c r="C40" i="17"/>
  <c r="C38" i="17"/>
  <c r="BK30" i="17"/>
  <c r="BJ30" i="17"/>
  <c r="BI30" i="17"/>
  <c r="BH30" i="17"/>
  <c r="BG30" i="17"/>
  <c r="BF30" i="17"/>
  <c r="BE30" i="17"/>
  <c r="BD30" i="17"/>
  <c r="BC30" i="17"/>
  <c r="BB30" i="17"/>
  <c r="BA30" i="17"/>
  <c r="AZ30" i="17"/>
  <c r="AY30" i="17"/>
  <c r="AX30" i="17"/>
  <c r="AW30" i="17"/>
  <c r="AV30" i="17"/>
  <c r="AU30" i="17"/>
  <c r="AT30" i="17"/>
  <c r="AS30" i="17"/>
  <c r="AR30" i="17"/>
  <c r="AQ30" i="17"/>
  <c r="AP30" i="17"/>
  <c r="AO30" i="17"/>
  <c r="AN30" i="17"/>
  <c r="AM30" i="17"/>
  <c r="AL30" i="17"/>
  <c r="AK30" i="17"/>
  <c r="AJ30" i="17"/>
  <c r="AI30" i="17"/>
  <c r="AH30" i="17"/>
  <c r="AG30" i="17"/>
  <c r="AF30" i="17"/>
  <c r="AE30" i="17"/>
  <c r="AD30" i="17"/>
  <c r="AC30" i="17"/>
  <c r="AB30" i="17"/>
  <c r="AA30" i="17"/>
  <c r="Z30" i="17"/>
  <c r="Y30" i="17"/>
  <c r="X30" i="17"/>
  <c r="W30" i="17"/>
  <c r="V30" i="17"/>
  <c r="U30" i="17"/>
  <c r="T30" i="17"/>
  <c r="S30" i="17"/>
  <c r="R30" i="17"/>
  <c r="Q30" i="17"/>
  <c r="P30" i="17"/>
  <c r="O30" i="17"/>
  <c r="N30" i="17"/>
  <c r="M30" i="17"/>
  <c r="L30" i="17"/>
  <c r="K30" i="17"/>
  <c r="J30" i="17"/>
  <c r="I30" i="17"/>
  <c r="H30" i="17"/>
  <c r="G30" i="17"/>
  <c r="F30" i="17"/>
  <c r="E30" i="17"/>
  <c r="D30" i="17"/>
  <c r="B26" i="17"/>
  <c r="D6" i="17"/>
  <c r="E6" i="17"/>
  <c r="F6" i="17"/>
  <c r="G6" i="17"/>
  <c r="H6" i="17"/>
  <c r="I6" i="17"/>
  <c r="J6" i="17"/>
  <c r="K6" i="17"/>
  <c r="L6" i="17"/>
  <c r="M6" i="17"/>
  <c r="N6" i="17"/>
  <c r="O6" i="17"/>
  <c r="P6" i="17"/>
  <c r="Q6" i="17"/>
  <c r="R6" i="17"/>
  <c r="S6" i="17"/>
  <c r="T6" i="17"/>
  <c r="U6" i="17"/>
  <c r="V6" i="17"/>
  <c r="W6" i="17"/>
  <c r="N7" i="17"/>
  <c r="O7" i="17"/>
  <c r="P7" i="17"/>
  <c r="Q7" i="17"/>
  <c r="R7" i="17"/>
  <c r="S7" i="17"/>
  <c r="T7" i="17"/>
  <c r="U7" i="17"/>
  <c r="V7" i="17"/>
  <c r="W7" i="17"/>
  <c r="X7" i="17"/>
  <c r="Y7" i="17"/>
  <c r="Z7" i="17"/>
  <c r="AA7" i="17"/>
  <c r="AB7" i="17"/>
  <c r="AC7" i="17"/>
  <c r="AD7" i="17"/>
  <c r="AE7" i="17"/>
  <c r="AF7" i="17"/>
  <c r="AG7" i="17"/>
  <c r="X8" i="17"/>
  <c r="Y8" i="17"/>
  <c r="Z8" i="17"/>
  <c r="AA8" i="17"/>
  <c r="AB8" i="17"/>
  <c r="AC8" i="17"/>
  <c r="AD8" i="17"/>
  <c r="AE8" i="17"/>
  <c r="AF8" i="17"/>
  <c r="AG8" i="17"/>
  <c r="AH8" i="17"/>
  <c r="AI8" i="17"/>
  <c r="AJ8" i="17"/>
  <c r="AK8" i="17"/>
  <c r="AL8" i="17"/>
  <c r="AM8" i="17"/>
  <c r="AN8" i="17"/>
  <c r="AO8" i="17"/>
  <c r="AP8" i="17"/>
  <c r="AQ8" i="17"/>
  <c r="AH9" i="17"/>
  <c r="AI9" i="17"/>
  <c r="AJ9" i="17"/>
  <c r="AK9" i="17"/>
  <c r="AL9" i="17"/>
  <c r="AM9" i="17"/>
  <c r="AN9" i="17"/>
  <c r="AO9" i="17"/>
  <c r="AP9" i="17"/>
  <c r="AQ9" i="17"/>
  <c r="AR9" i="17"/>
  <c r="AS9" i="17"/>
  <c r="AT9" i="17"/>
  <c r="AU9" i="17"/>
  <c r="AV9" i="17"/>
  <c r="AW9" i="17"/>
  <c r="AX9" i="17"/>
  <c r="AY9" i="17"/>
  <c r="AZ9" i="17"/>
  <c r="BA9" i="17"/>
  <c r="AR10" i="17"/>
  <c r="AS10" i="17"/>
  <c r="AT10" i="17"/>
  <c r="AU10" i="17"/>
  <c r="AV10" i="17"/>
  <c r="AW10" i="17"/>
  <c r="AX10" i="17"/>
  <c r="AY10" i="17"/>
  <c r="AZ10" i="17"/>
  <c r="BA10" i="17"/>
  <c r="BB10" i="17"/>
  <c r="BC10" i="17"/>
  <c r="BD10" i="17"/>
  <c r="BE10" i="17"/>
  <c r="BF10" i="17"/>
  <c r="BG10" i="17"/>
  <c r="BH10" i="17"/>
  <c r="BI10" i="17"/>
  <c r="BJ10" i="17"/>
  <c r="BK10" i="17"/>
  <c r="D11" i="17"/>
  <c r="E11" i="17"/>
  <c r="F11" i="17"/>
  <c r="G11" i="17"/>
  <c r="H11" i="17"/>
  <c r="I11" i="17"/>
  <c r="J11" i="17"/>
  <c r="K11" i="17"/>
  <c r="L11" i="17"/>
  <c r="M11" i="17"/>
  <c r="BB11" i="17"/>
  <c r="BC11" i="17"/>
  <c r="BD11" i="17"/>
  <c r="BE11" i="17"/>
  <c r="BF11" i="17"/>
  <c r="BG11" i="17"/>
  <c r="BH11" i="17"/>
  <c r="BI11" i="17"/>
  <c r="BJ11" i="17"/>
  <c r="BK11" i="17"/>
  <c r="C23" i="17"/>
  <c r="C24" i="17"/>
  <c r="C21" i="17"/>
  <c r="C22" i="17"/>
  <c r="C19" i="17"/>
  <c r="C20" i="17"/>
  <c r="C17" i="17"/>
  <c r="C18" i="17"/>
  <c r="D12" i="17"/>
  <c r="E12" i="17"/>
  <c r="F12" i="17"/>
  <c r="G12" i="17"/>
  <c r="H12" i="17"/>
  <c r="I12" i="17"/>
  <c r="J12" i="17"/>
  <c r="K12" i="17"/>
  <c r="L12" i="17"/>
  <c r="M12" i="17"/>
  <c r="N12" i="17"/>
  <c r="O12" i="17"/>
  <c r="P12" i="17"/>
  <c r="Q12" i="17"/>
  <c r="R12" i="17"/>
  <c r="S12" i="17"/>
  <c r="T12" i="17"/>
  <c r="U12" i="17"/>
  <c r="V12" i="17"/>
  <c r="W12" i="17"/>
  <c r="X12" i="17"/>
  <c r="Y12" i="17"/>
  <c r="Z12" i="17"/>
  <c r="AA12" i="17"/>
  <c r="AB12" i="17"/>
  <c r="AC12" i="17"/>
  <c r="AD12" i="17"/>
  <c r="AE12" i="17"/>
  <c r="AF12" i="17"/>
  <c r="AG12" i="17"/>
  <c r="AH12" i="17"/>
  <c r="AI12" i="17"/>
  <c r="AJ12" i="17"/>
  <c r="AK12" i="17"/>
  <c r="AL12" i="17"/>
  <c r="AM12" i="17"/>
  <c r="AN12" i="17"/>
  <c r="AO12" i="17"/>
  <c r="AP12" i="17"/>
  <c r="AQ12" i="17"/>
  <c r="AR12" i="17"/>
  <c r="AS12" i="17"/>
  <c r="AT12" i="17"/>
  <c r="AU12" i="17"/>
  <c r="AV12" i="17"/>
  <c r="AW12" i="17"/>
  <c r="AX12" i="17"/>
  <c r="AY12" i="17"/>
  <c r="AZ12" i="17"/>
  <c r="BA12" i="17"/>
  <c r="BB12" i="17"/>
  <c r="BC12" i="17"/>
  <c r="BD12" i="17"/>
  <c r="BE12" i="17"/>
  <c r="BF12" i="17"/>
  <c r="BG12" i="17"/>
  <c r="BH12" i="17"/>
  <c r="BI12" i="17"/>
  <c r="BJ12" i="17"/>
  <c r="BK12" i="17"/>
  <c r="C12" i="17"/>
  <c r="C16" i="17"/>
  <c r="C14" i="17"/>
  <c r="C15" i="17"/>
  <c r="C13" i="17"/>
  <c r="BK5" i="17"/>
  <c r="BJ5" i="17"/>
  <c r="BI5" i="17"/>
  <c r="BH5" i="17"/>
  <c r="BG5" i="17"/>
  <c r="BF5" i="17"/>
  <c r="BE5" i="17"/>
  <c r="BD5" i="17"/>
  <c r="BC5" i="17"/>
  <c r="BB5" i="17"/>
  <c r="BA5" i="17"/>
  <c r="AZ5" i="17"/>
  <c r="AY5" i="17"/>
  <c r="AX5" i="17"/>
  <c r="AW5" i="17"/>
  <c r="AV5" i="17"/>
  <c r="AU5" i="17"/>
  <c r="AT5" i="17"/>
  <c r="AS5" i="17"/>
  <c r="AR5" i="17"/>
  <c r="AQ5" i="17"/>
  <c r="AP5" i="17"/>
  <c r="AO5" i="17"/>
  <c r="AN5" i="17"/>
  <c r="AM5" i="17"/>
  <c r="AL5" i="17"/>
  <c r="AK5" i="17"/>
  <c r="AJ5" i="17"/>
  <c r="AI5" i="17"/>
  <c r="AH5" i="17"/>
  <c r="AG5" i="17"/>
  <c r="AF5" i="17"/>
  <c r="AE5" i="17"/>
  <c r="AD5" i="17"/>
  <c r="AC5" i="17"/>
  <c r="AB5" i="17"/>
  <c r="AA5" i="17"/>
  <c r="Z5" i="17"/>
  <c r="Y5" i="17"/>
  <c r="X5" i="17"/>
  <c r="W5" i="17"/>
  <c r="V5" i="17"/>
  <c r="U5" i="17"/>
  <c r="T5" i="17"/>
  <c r="S5" i="17"/>
  <c r="R5" i="17"/>
  <c r="Q5" i="17"/>
  <c r="P5" i="17"/>
  <c r="O5" i="17"/>
  <c r="N5" i="17"/>
  <c r="M5" i="17"/>
  <c r="L5" i="17"/>
  <c r="K5" i="17"/>
  <c r="J5" i="17"/>
  <c r="I5" i="17"/>
  <c r="H5" i="17"/>
  <c r="G5" i="17"/>
  <c r="F5" i="17"/>
  <c r="E5" i="17"/>
  <c r="D5" i="17"/>
  <c r="B1" i="17"/>
  <c r="D14" i="1"/>
  <c r="D25" i="1"/>
  <c r="D16" i="1"/>
  <c r="D17" i="1"/>
  <c r="D29" i="1"/>
  <c r="D1" i="22"/>
  <c r="D36" i="1"/>
  <c r="D37" i="1"/>
  <c r="D39" i="1"/>
  <c r="D40" i="1"/>
  <c r="D44" i="1"/>
  <c r="D50" i="1"/>
  <c r="D55" i="1"/>
  <c r="D52" i="1"/>
  <c r="D54" i="1"/>
  <c r="D56" i="1"/>
  <c r="D57" i="1"/>
  <c r="D43" i="1"/>
  <c r="D45" i="1"/>
  <c r="D46" i="1"/>
  <c r="D41" i="1"/>
  <c r="D33" i="1"/>
  <c r="D31" i="1"/>
  <c r="D48" i="1"/>
  <c r="D49" i="1"/>
  <c r="D32" i="1"/>
  <c r="D30" i="1"/>
  <c r="D28" i="1"/>
  <c r="D27" i="1"/>
  <c r="D26" i="1"/>
  <c r="D24" i="1"/>
  <c r="D21" i="1"/>
  <c r="D23" i="1"/>
  <c r="D22" i="1"/>
</calcChain>
</file>

<file path=xl/sharedStrings.xml><?xml version="1.0" encoding="utf-8"?>
<sst xmlns="http://schemas.openxmlformats.org/spreadsheetml/2006/main" count="303" uniqueCount="133">
  <si>
    <t>DTKA_NUM_AUTHS</t>
  </si>
  <si>
    <t>DTKA_FEC_K</t>
  </si>
  <si>
    <t>DTKA_FEC_M</t>
  </si>
  <si>
    <t>DTKA_FEC_N</t>
  </si>
  <si>
    <t>DTKA_FEC_Q</t>
  </si>
  <si>
    <t>ARCHITECTURE</t>
  </si>
  <si>
    <t>Value</t>
  </si>
  <si>
    <t>Unit</t>
  </si>
  <si>
    <t>Info</t>
  </si>
  <si>
    <t>authorities</t>
  </si>
  <si>
    <t>blocks</t>
  </si>
  <si>
    <t>bundles/bulletin</t>
  </si>
  <si>
    <t>bundles/authority</t>
  </si>
  <si>
    <t>bit</t>
  </si>
  <si>
    <t>Name</t>
  </si>
  <si>
    <t>USER_NODES</t>
  </si>
  <si>
    <t>nodes</t>
  </si>
  <si>
    <t>Reception Efficiency</t>
  </si>
  <si>
    <t>Code Rate</t>
  </si>
  <si>
    <t>Bundle Redundancy</t>
  </si>
  <si>
    <t>Blocks</t>
  </si>
  <si>
    <t>Shares</t>
  </si>
  <si>
    <t>KA-1</t>
  </si>
  <si>
    <t>KA-2</t>
  </si>
  <si>
    <t>running</t>
  </si>
  <si>
    <t>Shares Announced</t>
  </si>
  <si>
    <t>Consensus Bulletin</t>
  </si>
  <si>
    <t>Running Authorities</t>
  </si>
  <si>
    <t>Shares Missing</t>
  </si>
  <si>
    <t>Failing Authorities</t>
  </si>
  <si>
    <t>Bundles Announced</t>
  </si>
  <si>
    <t>Bundles Missing</t>
  </si>
  <si>
    <t>Failing Tolerance
(worst tolerable case)</t>
  </si>
  <si>
    <t>Failing Tolerance
(best tolerable case)</t>
  </si>
  <si>
    <t>KEY_SIZE</t>
  </si>
  <si>
    <t>bytes</t>
  </si>
  <si>
    <t>SIZE</t>
  </si>
  <si>
    <t>Node Number</t>
  </si>
  <si>
    <t>Effective Time</t>
  </si>
  <si>
    <t>Generation Time</t>
  </si>
  <si>
    <t>Key Length</t>
  </si>
  <si>
    <t>Public Key</t>
  </si>
  <si>
    <t>bytes/record</t>
  </si>
  <si>
    <t>KEY_GEN_INTERVAL</t>
  </si>
  <si>
    <t>seconds</t>
  </si>
  <si>
    <t>Size per Record</t>
  </si>
  <si>
    <t>Data Rate</t>
  </si>
  <si>
    <t>Public Key Declaration Records</t>
  </si>
  <si>
    <t>bytes/bulletin</t>
  </si>
  <si>
    <t>COMPILATION_INTERVAL</t>
  </si>
  <si>
    <t>Size per Bulletin</t>
  </si>
  <si>
    <t>Block Size</t>
  </si>
  <si>
    <t>Parity Data</t>
  </si>
  <si>
    <t>Block</t>
  </si>
  <si>
    <t>Hash</t>
  </si>
  <si>
    <t>Share Number</t>
  </si>
  <si>
    <t>Bundle Payload</t>
  </si>
  <si>
    <t>Payload per Bundle</t>
  </si>
  <si>
    <t>Bulletin ID</t>
  </si>
  <si>
    <t>Proposed Bulletin</t>
  </si>
  <si>
    <t>Indicates whether DTKA runs on a 32 bit or a 64 bit machine.</t>
  </si>
  <si>
    <t>Configuration:</t>
  </si>
  <si>
    <t>Evaluation:</t>
  </si>
  <si>
    <t>%</t>
  </si>
  <si>
    <t>shares</t>
  </si>
  <si>
    <t>% of all shares</t>
  </si>
  <si>
    <t>Loss Rate</t>
  </si>
  <si>
    <t>% of all bundles</t>
  </si>
  <si>
    <t>bundles</t>
  </si>
  <si>
    <t>Declaration Record</t>
  </si>
  <si>
    <t>bytes/bundle</t>
  </si>
  <si>
    <t>GENERAL</t>
  </si>
  <si>
    <t>PARAMETER</t>
  </si>
  <si>
    <t>RESULT</t>
  </si>
  <si>
    <t>% of all nodes</t>
  </si>
  <si>
    <t>This defines the size of one public key inside a public key declaration record.</t>
  </si>
  <si>
    <r>
      <t xml:space="preserve">Represents the total number of </t>
    </r>
    <r>
      <rPr>
        <b/>
        <i/>
        <sz val="12"/>
        <color rgb="FF7F7F7F"/>
        <rFont val="Calibri"/>
        <family val="2"/>
        <scheme val="minor"/>
      </rPr>
      <t>non</t>
    </r>
    <r>
      <rPr>
        <i/>
        <sz val="12"/>
        <color rgb="FF7F7F7F"/>
        <rFont val="Calibri"/>
        <family val="2"/>
        <scheme val="minor"/>
      </rPr>
      <t xml:space="preserve"> key authority nodes (normal subscriber nodes).</t>
    </r>
  </si>
  <si>
    <t xml:space="preserve"> This holds the interval for the key pair generation.</t>
  </si>
  <si>
    <t>This holds the interval fot he compilation interval.</t>
  </si>
  <si>
    <t>This number defines how many distributed key authority nodes are part of the trusted key authority.</t>
  </si>
  <si>
    <t>Defines in how many blocks a consensus bulletin is split up (without parity blocks).</t>
  </si>
  <si>
    <t>This is the number of blocks required for recovery in porportion to the original blocks.</t>
  </si>
  <si>
    <t>This indicates the how many shares have to be announced (at least) in order to reconstruct a consensus bulletin.</t>
  </si>
  <si>
    <t>This value says how many shares are allowed to be missing (at most) so that reconstruction is still possible.</t>
  </si>
  <si>
    <t>This indicates how many of  the sent bundles are redundant.</t>
  </si>
  <si>
    <t>This value says how many key authority nodes can be allowed to fail so that the DTKA system still works (best tolerable case).</t>
  </si>
  <si>
    <t>This is the number of bytes in total for one public key declaration record (assuming only public key assertions and no revocations).</t>
  </si>
  <si>
    <t>This is the size of one block (whether original consensus bulletin block or parity block does not matter).</t>
  </si>
  <si>
    <t>DTKA_SHARE_BACKUP</t>
  </si>
  <si>
    <t>Compromising Tolerance (worst case)</t>
  </si>
  <si>
    <t>backup/share</t>
  </si>
  <si>
    <t>Reconstruction Possible</t>
  </si>
  <si>
    <t>bytes/seconds</t>
  </si>
  <si>
    <t>Bulletin</t>
  </si>
  <si>
    <t>KA-3</t>
  </si>
  <si>
    <t>KA-4</t>
  </si>
  <si>
    <t>KA-5</t>
  </si>
  <si>
    <t>KA-6</t>
  </si>
  <si>
    <t>Problem Indicator</t>
  </si>
  <si>
    <t>Parity</t>
  </si>
  <si>
    <t>% parity</t>
  </si>
  <si>
    <t>Not Correctly Distributed Shares</t>
  </si>
  <si>
    <t>This value says how many key authority nodes can be allowed to fail so that the DTKA system still works (worst tolerable case).</t>
  </si>
  <si>
    <t>[authorities]</t>
  </si>
  <si>
    <t>[blocks]</t>
  </si>
  <si>
    <t>[backup/share]</t>
  </si>
  <si>
    <t>[bundles/bulletin]</t>
  </si>
  <si>
    <t>[bundles/authority]</t>
  </si>
  <si>
    <t>[%]</t>
  </si>
  <si>
    <t>[shares]</t>
  </si>
  <si>
    <t>[bundles]</t>
  </si>
  <si>
    <t>[nodes]</t>
  </si>
  <si>
    <t>[% of all shares]</t>
  </si>
  <si>
    <t>[% of all bundles]</t>
  </si>
  <si>
    <t>[% of all nodes]</t>
  </si>
  <si>
    <t>[bytes]</t>
  </si>
  <si>
    <t>[bytes/record]</t>
  </si>
  <si>
    <t>[bytes/seconds]</t>
  </si>
  <si>
    <t>WORST TOLERABLE CASE</t>
  </si>
  <si>
    <t>failing</t>
  </si>
  <si>
    <t>FAILING CASE</t>
  </si>
  <si>
    <t>BEST TOLERABLE CASE</t>
  </si>
  <si>
    <t>[bytes/bulletin]</t>
  </si>
  <si>
    <t>[bytes/bundle]</t>
  </si>
  <si>
    <r>
      <t xml:space="preserve">This number identifies the number of backup bundles per share. </t>
    </r>
    <r>
      <rPr>
        <b/>
        <i/>
        <sz val="12"/>
        <color rgb="FF7F7F7F"/>
        <rFont val="Calibri"/>
        <family val="2"/>
        <scheme val="minor"/>
      </rPr>
      <t>NOTE: The current DTKA implementation is currently using all the time a value of 1 here, meaning one backup bundle per share.</t>
    </r>
  </si>
  <si>
    <r>
      <t xml:space="preserve">This says the total number of blocks transmitted per bulletin. </t>
    </r>
    <r>
      <rPr>
        <b/>
        <i/>
        <sz val="12"/>
        <color rgb="FF7F7F7F"/>
        <rFont val="Calibri"/>
        <family val="2"/>
        <scheme val="minor"/>
      </rPr>
      <t>NOTE: It is not be necessary to change this value, it is computed automatically.</t>
    </r>
  </si>
  <si>
    <r>
      <t xml:space="preserve">DTKA_FEC_M holds the number of blocks in total for one consensus bulletin (original data blocks + parity blocks). In the top field you can either give the number of parity blocks as percentage or as number. The final value of DTKA_FEC_M is shown below. This value can also be interpreted as number of shares in total. </t>
    </r>
    <r>
      <rPr>
        <b/>
        <i/>
        <sz val="12"/>
        <color rgb="FF7F7F7F"/>
        <rFont val="Calibri"/>
        <family val="2"/>
        <scheme val="minor"/>
      </rPr>
      <t>NOTE: The value should be divisible by the number of key authorities (DTKA_NUM_AUTHS). Otherwise there will be a gap in the distribution of the shares.</t>
    </r>
  </si>
  <si>
    <r>
      <t xml:space="preserve">This holds the total number of blocks transmitted per authority. </t>
    </r>
    <r>
      <rPr>
        <b/>
        <i/>
        <sz val="12"/>
        <color rgb="FF7F7F7F"/>
        <rFont val="Calibri"/>
        <family val="2"/>
        <scheme val="minor"/>
      </rPr>
      <t>NOTE: It is not be necessary to change this value, it is computed automatically.</t>
    </r>
  </si>
  <si>
    <t>This is the max number of key authority nodes that are allowed to be hacked in order to ptrevent them to send valid consensus bulletins (notice that not any combination of nodes makes it possible to send consensus bulletins due to the distributed publication responsibility).</t>
  </si>
  <si>
    <t>NOTE: In case of a revocation this would be 0. Thus, the assumption here is that we always have an assertion of a public key.</t>
  </si>
  <si>
    <t>This value indicates how many bytes of data are produced by all DTKA authority nodes per seconds.</t>
  </si>
  <si>
    <t>This value indicates how many bytes of data are produced in total  (all key authority nodes) per seconds.</t>
  </si>
  <si>
    <t>This is the size of one proposed bulletin (all public key declaration records + bulletin 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</si>
</sst>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8" x14ac:knownFonts="1">
    <font>
      <sz val="12"/>
      <color theme="1"/>
      <name val="Calibri"/>
      <family val="2"/>
      <scheme val="minor"/>
    </font>
    <font>
      <sz val="12"/>
      <color theme="1"/>
      <name val="Calibri"/>
      <family val="2"/>
      <scheme val="minor"/>
    </font>
    <font>
      <u/>
      <sz val="12"/>
      <color theme="10"/>
      <name val="Calibri"/>
      <family val="2"/>
      <scheme val="minor"/>
    </font>
    <font>
      <u/>
      <sz val="12"/>
      <color theme="11"/>
      <name val="Calibri"/>
      <family val="2"/>
      <scheme val="minor"/>
    </font>
    <font>
      <b/>
      <sz val="12"/>
      <color rgb="FFFA7D00"/>
      <name val="Calibri"/>
      <family val="2"/>
      <scheme val="minor"/>
    </font>
    <font>
      <i/>
      <sz val="12"/>
      <color rgb="FF7F7F7F"/>
      <name val="Calibri"/>
      <family val="2"/>
      <scheme val="minor"/>
    </font>
    <font>
      <b/>
      <sz val="18"/>
      <color theme="3"/>
      <name val="Calibri Light"/>
      <family val="2"/>
      <scheme val="major"/>
    </font>
    <font>
      <b/>
      <sz val="11"/>
      <color theme="3"/>
      <name val="Calibri"/>
      <family val="2"/>
      <scheme val="minor"/>
    </font>
    <font>
      <b/>
      <sz val="12"/>
      <color theme="1"/>
      <name val="Calibri"/>
      <family val="2"/>
      <scheme val="minor"/>
    </font>
    <font>
      <b/>
      <sz val="13"/>
      <color theme="3"/>
      <name val="Calibri"/>
      <family val="2"/>
      <scheme val="minor"/>
    </font>
    <font>
      <sz val="12"/>
      <color rgb="FF3F3F76"/>
      <name val="Calibri"/>
      <family val="2"/>
      <scheme val="minor"/>
    </font>
    <font>
      <b/>
      <sz val="12"/>
      <color rgb="FF3F3F3F"/>
      <name val="Calibri"/>
      <family val="2"/>
      <scheme val="minor"/>
    </font>
    <font>
      <b/>
      <sz val="12"/>
      <color rgb="FF3F3F76"/>
      <name val="Calibri"/>
      <family val="2"/>
      <scheme val="minor"/>
    </font>
    <font>
      <sz val="12"/>
      <color rgb="FF3F3F3F"/>
      <name val="Calibri"/>
      <family val="2"/>
      <scheme val="minor"/>
    </font>
    <font>
      <b/>
      <i/>
      <sz val="12"/>
      <color rgb="FF7F7F7F"/>
      <name val="Calibri"/>
      <family val="2"/>
      <scheme val="minor"/>
    </font>
    <font>
      <sz val="12"/>
      <color rgb="FF7F7F7F"/>
      <name val="Calibri"/>
      <family val="2"/>
      <scheme val="minor"/>
    </font>
    <font>
      <sz val="8"/>
      <name val="Calibri"/>
      <family val="2"/>
      <scheme val="minor"/>
    </font>
    <font>
      <sz val="12"/>
      <color rgb="FF000000"/>
      <name val="Helvetica"/>
    </font>
  </fonts>
  <fills count="5">
    <fill>
      <patternFill patternType="none"/>
    </fill>
    <fill>
      <patternFill patternType="gray125"/>
    </fill>
    <fill>
      <patternFill patternType="solid">
        <fgColor rgb="FFF2F2F2"/>
      </patternFill>
    </fill>
    <fill>
      <patternFill patternType="solid">
        <fgColor rgb="FFFFCC99"/>
      </patternFill>
    </fill>
    <fill>
      <patternFill patternType="solid">
        <fgColor rgb="FFF2F2F2"/>
        <bgColor indexed="64"/>
      </patternFill>
    </fill>
  </fills>
  <borders count="26">
    <border>
      <left/>
      <right/>
      <top/>
      <bottom/>
      <diagonal/>
    </border>
    <border>
      <left style="thin">
        <color rgb="FF7F7F7F"/>
      </left>
      <right style="thin">
        <color rgb="FF7F7F7F"/>
      </right>
      <top style="thin">
        <color rgb="FF7F7F7F"/>
      </top>
      <bottom style="thin">
        <color rgb="FF7F7F7F"/>
      </bottom>
      <diagonal/>
    </border>
    <border>
      <left/>
      <right style="dotted">
        <color indexed="23"/>
      </right>
      <top/>
      <bottom/>
      <diagonal/>
    </border>
    <border>
      <left/>
      <right/>
      <top/>
      <bottom style="thick">
        <color theme="4" tint="0.499984740745262"/>
      </bottom>
      <diagonal/>
    </border>
    <border>
      <left style="thin">
        <color rgb="FF3F3F3F"/>
      </left>
      <right style="thin">
        <color rgb="FF3F3F3F"/>
      </right>
      <top style="thin">
        <color rgb="FF3F3F3F"/>
      </top>
      <bottom style="thin">
        <color rgb="FF3F3F3F"/>
      </bottom>
      <diagonal/>
    </border>
    <border>
      <left/>
      <right/>
      <top/>
      <bottom style="hair">
        <color auto="1"/>
      </bottom>
      <diagonal/>
    </border>
    <border>
      <left/>
      <right style="hair">
        <color auto="1"/>
      </right>
      <top style="hair">
        <color auto="1"/>
      </top>
      <bottom style="hair">
        <color auto="1"/>
      </bottom>
      <diagonal/>
    </border>
    <border>
      <left/>
      <right style="hair">
        <color auto="1"/>
      </right>
      <top style="hair">
        <color auto="1"/>
      </top>
      <bottom/>
      <diagonal/>
    </border>
    <border>
      <left/>
      <right style="hair">
        <color auto="1"/>
      </right>
      <top/>
      <bottom/>
      <diagonal/>
    </border>
    <border>
      <left/>
      <right style="hair">
        <color auto="1"/>
      </right>
      <top/>
      <bottom style="hair">
        <color auto="1"/>
      </bottom>
      <diagonal/>
    </border>
    <border>
      <left style="hair">
        <color auto="1"/>
      </left>
      <right style="hair">
        <color auto="1"/>
      </right>
      <top style="hair">
        <color auto="1"/>
      </top>
      <bottom style="hair">
        <color auto="1"/>
      </bottom>
      <diagonal/>
    </border>
    <border>
      <left/>
      <right/>
      <top style="hair">
        <color auto="1"/>
      </top>
      <bottom style="hair">
        <color auto="1"/>
      </bottom>
      <diagonal/>
    </border>
    <border>
      <left style="hair">
        <color auto="1"/>
      </left>
      <right style="hair">
        <color auto="1"/>
      </right>
      <top style="hair">
        <color auto="1"/>
      </top>
      <bottom/>
      <diagonal/>
    </border>
    <border>
      <left style="hair">
        <color auto="1"/>
      </left>
      <right style="hair">
        <color auto="1"/>
      </right>
      <top/>
      <bottom style="hair">
        <color auto="1"/>
      </bottom>
      <diagonal/>
    </border>
    <border>
      <left style="hair">
        <color auto="1"/>
      </left>
      <right/>
      <top style="hair">
        <color auto="1"/>
      </top>
      <bottom style="hair">
        <color auto="1"/>
      </bottom>
      <diagonal/>
    </border>
    <border>
      <left style="hair">
        <color auto="1"/>
      </left>
      <right/>
      <top style="hair">
        <color auto="1"/>
      </top>
      <bottom/>
      <diagonal/>
    </border>
    <border>
      <left style="hair">
        <color auto="1"/>
      </left>
      <right/>
      <top/>
      <bottom style="hair">
        <color auto="1"/>
      </bottom>
      <diagonal/>
    </border>
    <border>
      <left style="hair">
        <color auto="1"/>
      </left>
      <right style="hair">
        <color auto="1"/>
      </right>
      <top/>
      <bottom/>
      <diagonal/>
    </border>
    <border>
      <left style="hair">
        <color auto="1"/>
      </left>
      <right/>
      <top style="thin">
        <color rgb="FF7F7F7F"/>
      </top>
      <bottom style="thin">
        <color rgb="FF7F7F7F"/>
      </bottom>
      <diagonal/>
    </border>
    <border>
      <left style="hair">
        <color auto="1"/>
      </left>
      <right/>
      <top style="thin">
        <color rgb="FF7F7F7F"/>
      </top>
      <bottom style="hair">
        <color auto="1"/>
      </bottom>
      <diagonal/>
    </border>
    <border>
      <left/>
      <right style="thin">
        <color rgb="FF7F7F7F"/>
      </right>
      <top style="thin">
        <color rgb="FF7F7F7F"/>
      </top>
      <bottom style="hair">
        <color auto="1"/>
      </bottom>
      <diagonal/>
    </border>
    <border>
      <left style="hair">
        <color auto="1"/>
      </left>
      <right/>
      <top/>
      <bottom/>
      <diagonal/>
    </border>
    <border>
      <left style="thin">
        <color rgb="FF7F7F7F"/>
      </left>
      <right/>
      <top style="thin">
        <color rgb="FF7F7F7F"/>
      </top>
      <bottom style="thin">
        <color rgb="FF7F7F7F"/>
      </bottom>
      <diagonal/>
    </border>
    <border>
      <left/>
      <right style="thin">
        <color rgb="FF7F7F7F"/>
      </right>
      <top style="thin">
        <color rgb="FF7F7F7F"/>
      </top>
      <bottom style="thin">
        <color rgb="FF7F7F7F"/>
      </bottom>
      <diagonal/>
    </border>
    <border>
      <left/>
      <right/>
      <top style="thin">
        <color rgb="FF7F7F7F"/>
      </top>
      <bottom style="thin">
        <color rgb="FF7F7F7F"/>
      </bottom>
      <diagonal/>
    </border>
    <border>
      <left/>
      <right/>
      <top/>
      <bottom style="medium">
        <color theme="4" tint="0.39997558519241921"/>
      </bottom>
      <diagonal/>
    </border>
  </borders>
  <cellStyleXfs count="24">
    <xf numFmtId="0" fontId="0" fillId="0" borderId="0"/>
    <xf numFmtId="9" fontId="1" fillId="0" borderId="0" applyFon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4" fillId="2" borderId="1" applyNumberFormat="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9" fillId="0" borderId="3" applyNumberFormat="0" applyFill="0" applyAlignment="0" applyProtection="0"/>
    <xf numFmtId="0" fontId="10" fillId="3" borderId="1" applyNumberFormat="0" applyBorder="0" applyAlignment="0" applyProtection="0"/>
    <xf numFmtId="0" fontId="11" fillId="2" borderId="4" applyNumberFormat="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7" fillId="0" borderId="25" applyNumberFormat="0" applyFill="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cellStyleXfs>
  <cellXfs count="105">
    <xf numFmtId="0" fontId="0" fillId="0" borderId="0" xfId="0"/>
    <xf numFmtId="0" fontId="0" fillId="0" borderId="0" xfId="0" applyAlignment="1">
      <alignment vertical="center"/>
    </xf>
    <xf numFmtId="0" fontId="8" fillId="0" borderId="0" xfId="0" applyFont="1"/>
    <xf numFmtId="0" fontId="0" fillId="0" borderId="0" xfId="0" applyAlignment="1">
      <alignment horizontal="left"/>
    </xf>
    <xf numFmtId="0" fontId="6" fillId="0" borderId="0" xfId="6"/>
    <xf numFmtId="0" fontId="5" fillId="0" borderId="0" xfId="5" applyBorder="1" applyAlignment="1">
      <alignment horizontal="center"/>
    </xf>
    <xf numFmtId="0" fontId="0" fillId="0" borderId="0" xfId="0" applyBorder="1"/>
    <xf numFmtId="9" fontId="0" fillId="0" borderId="0" xfId="0" applyNumberFormat="1" applyAlignment="1">
      <alignment horizontal="left"/>
    </xf>
    <xf numFmtId="0" fontId="5" fillId="0" borderId="2" xfId="5" applyBorder="1" applyAlignment="1">
      <alignment horizontal="center"/>
    </xf>
    <xf numFmtId="0" fontId="0" fillId="0" borderId="2" xfId="0" applyBorder="1"/>
    <xf numFmtId="0" fontId="8" fillId="0" borderId="0" xfId="0" applyFont="1" applyAlignment="1">
      <alignment horizontal="left"/>
    </xf>
    <xf numFmtId="0" fontId="7" fillId="0" borderId="0" xfId="7"/>
    <xf numFmtId="0" fontId="5" fillId="0" borderId="5" xfId="5" applyBorder="1" applyAlignment="1">
      <alignment horizontal="left" vertical="center"/>
    </xf>
    <xf numFmtId="0" fontId="7" fillId="0" borderId="0" xfId="7" applyBorder="1" applyAlignment="1">
      <alignment vertical="center"/>
    </xf>
    <xf numFmtId="0" fontId="0" fillId="0" borderId="0" xfId="0" applyBorder="1" applyAlignment="1">
      <alignment vertical="center"/>
    </xf>
    <xf numFmtId="0" fontId="12" fillId="0" borderId="10" xfId="11" applyFont="1" applyFill="1" applyBorder="1" applyAlignment="1">
      <alignment vertical="center"/>
    </xf>
    <xf numFmtId="0" fontId="12" fillId="0" borderId="6" xfId="11" applyFont="1" applyFill="1" applyBorder="1" applyAlignment="1">
      <alignment vertical="center"/>
    </xf>
    <xf numFmtId="0" fontId="10" fillId="0" borderId="6" xfId="11" applyFont="1" applyFill="1" applyBorder="1" applyAlignment="1">
      <alignment vertical="center"/>
    </xf>
    <xf numFmtId="0" fontId="10" fillId="0" borderId="10" xfId="11" applyFont="1" applyFill="1" applyBorder="1" applyAlignment="1">
      <alignment vertical="center"/>
    </xf>
    <xf numFmtId="0" fontId="7" fillId="0" borderId="0" xfId="7" applyBorder="1"/>
    <xf numFmtId="0" fontId="13" fillId="2" borderId="11" xfId="12" applyFont="1" applyBorder="1" applyAlignment="1">
      <alignment vertical="center"/>
    </xf>
    <xf numFmtId="1" fontId="13" fillId="2" borderId="11" xfId="12" applyNumberFormat="1" applyFont="1" applyBorder="1" applyAlignment="1">
      <alignment vertical="center"/>
    </xf>
    <xf numFmtId="1" fontId="13" fillId="2" borderId="11" xfId="1" applyNumberFormat="1" applyFont="1" applyFill="1" applyBorder="1" applyAlignment="1">
      <alignment vertical="center"/>
    </xf>
    <xf numFmtId="0" fontId="5" fillId="2" borderId="0" xfId="5" applyFill="1" applyBorder="1" applyAlignment="1">
      <alignment horizontal="right" vertical="center"/>
    </xf>
    <xf numFmtId="0" fontId="5" fillId="0" borderId="0" xfId="5" applyBorder="1" applyAlignment="1">
      <alignment horizontal="left" vertical="center"/>
    </xf>
    <xf numFmtId="0" fontId="10" fillId="0" borderId="17" xfId="11" applyFont="1" applyFill="1" applyBorder="1" applyAlignment="1">
      <alignment vertical="center"/>
    </xf>
    <xf numFmtId="0" fontId="10" fillId="0" borderId="11" xfId="11" applyFont="1" applyFill="1" applyBorder="1" applyAlignment="1">
      <alignment vertical="center"/>
    </xf>
    <xf numFmtId="0" fontId="10" fillId="0" borderId="0" xfId="11" applyFont="1" applyFill="1" applyBorder="1" applyAlignment="1">
      <alignment vertical="center"/>
    </xf>
    <xf numFmtId="0" fontId="15" fillId="2" borderId="6" xfId="5" applyFont="1" applyFill="1" applyBorder="1" applyAlignment="1">
      <alignment horizontal="left" vertical="center"/>
    </xf>
    <xf numFmtId="0" fontId="15" fillId="2" borderId="8" xfId="5" applyFont="1" applyFill="1" applyBorder="1" applyAlignment="1">
      <alignment horizontal="left" vertical="center"/>
    </xf>
    <xf numFmtId="0" fontId="11" fillId="2" borderId="11" xfId="12" applyFont="1" applyBorder="1" applyAlignment="1">
      <alignment vertical="center"/>
    </xf>
    <xf numFmtId="0" fontId="10" fillId="3" borderId="15" xfId="11" applyBorder="1" applyAlignment="1" applyProtection="1">
      <alignment horizontal="right" vertical="center"/>
      <protection locked="0"/>
    </xf>
    <xf numFmtId="0" fontId="10" fillId="3" borderId="14" xfId="11" applyBorder="1" applyAlignment="1" applyProtection="1">
      <alignment horizontal="right" vertical="center"/>
      <protection locked="0"/>
    </xf>
    <xf numFmtId="0" fontId="10" fillId="3" borderId="21" xfId="11" applyBorder="1" applyAlignment="1" applyProtection="1">
      <alignment horizontal="right" vertical="center"/>
      <protection locked="0"/>
    </xf>
    <xf numFmtId="0" fontId="10" fillId="3" borderId="16" xfId="11" applyBorder="1" applyAlignment="1" applyProtection="1">
      <alignment horizontal="right" vertical="center"/>
      <protection locked="0"/>
    </xf>
    <xf numFmtId="0" fontId="10" fillId="3" borderId="18" xfId="11" applyBorder="1" applyAlignment="1" applyProtection="1">
      <alignment horizontal="right" vertical="center"/>
      <protection locked="0"/>
    </xf>
    <xf numFmtId="0" fontId="10" fillId="3" borderId="19" xfId="11" applyBorder="1" applyAlignment="1" applyProtection="1">
      <alignment horizontal="right" vertical="center"/>
      <protection locked="0"/>
    </xf>
    <xf numFmtId="0" fontId="10" fillId="3" borderId="20" xfId="11" applyFont="1" applyBorder="1" applyAlignment="1" applyProtection="1">
      <alignment horizontal="left" vertical="center"/>
      <protection locked="0"/>
    </xf>
    <xf numFmtId="0" fontId="10" fillId="0" borderId="9" xfId="11" applyFont="1" applyFill="1" applyBorder="1" applyAlignment="1">
      <alignment horizontal="left" vertical="center"/>
    </xf>
    <xf numFmtId="0" fontId="0" fillId="0" borderId="0" xfId="0" applyAlignment="1">
      <alignment vertical="center"/>
    </xf>
    <xf numFmtId="0" fontId="10" fillId="4" borderId="11" xfId="11" applyFill="1" applyBorder="1" applyAlignment="1" applyProtection="1">
      <alignment horizontal="right" vertical="center"/>
    </xf>
    <xf numFmtId="0" fontId="0" fillId="0" borderId="0" xfId="0"/>
    <xf numFmtId="1" fontId="11" fillId="2" borderId="11" xfId="12" applyNumberFormat="1" applyFont="1" applyBorder="1" applyAlignment="1">
      <alignment vertical="center"/>
    </xf>
    <xf numFmtId="0" fontId="5" fillId="0" borderId="0" xfId="5" applyAlignment="1">
      <alignment horizontal="center"/>
    </xf>
    <xf numFmtId="0" fontId="10" fillId="0" borderId="8" xfId="11" applyFont="1" applyFill="1" applyBorder="1" applyAlignment="1">
      <alignment horizontal="left" vertical="center"/>
    </xf>
    <xf numFmtId="0" fontId="7" fillId="0" borderId="25" xfId="19"/>
    <xf numFmtId="1" fontId="0" fillId="0" borderId="0" xfId="0" applyNumberFormat="1"/>
    <xf numFmtId="1" fontId="7" fillId="0" borderId="25" xfId="19" applyNumberFormat="1" applyAlignment="1">
      <alignment horizontal="center"/>
    </xf>
    <xf numFmtId="0" fontId="12" fillId="0" borderId="0" xfId="11" applyFont="1" applyFill="1" applyBorder="1" applyAlignment="1">
      <alignment vertical="center"/>
    </xf>
    <xf numFmtId="0" fontId="10" fillId="0" borderId="0" xfId="0" applyFont="1" applyBorder="1" applyAlignment="1">
      <alignment vertical="center"/>
    </xf>
    <xf numFmtId="0" fontId="12" fillId="0" borderId="0" xfId="0" applyFont="1" applyBorder="1" applyAlignment="1">
      <alignment vertical="center"/>
    </xf>
    <xf numFmtId="0" fontId="15" fillId="0" borderId="0" xfId="5" applyFont="1" applyAlignment="1">
      <alignment vertical="center"/>
    </xf>
    <xf numFmtId="1" fontId="0" fillId="0" borderId="0" xfId="0" applyNumberFormat="1" applyAlignment="1">
      <alignment vertical="center"/>
    </xf>
    <xf numFmtId="1" fontId="11" fillId="4" borderId="11" xfId="12" applyNumberFormat="1" applyFont="1" applyFill="1" applyBorder="1" applyAlignment="1">
      <alignment vertical="center"/>
    </xf>
    <xf numFmtId="0" fontId="15" fillId="4" borderId="6" xfId="5" applyFont="1" applyFill="1" applyBorder="1" applyAlignment="1">
      <alignment horizontal="left" vertical="center"/>
    </xf>
    <xf numFmtId="0" fontId="11" fillId="4" borderId="11" xfId="12" applyFont="1" applyFill="1" applyBorder="1" applyAlignment="1">
      <alignment vertical="center"/>
    </xf>
    <xf numFmtId="0" fontId="5" fillId="0" borderId="10" xfId="5" applyFont="1" applyFill="1" applyBorder="1" applyAlignment="1">
      <alignment vertical="center" wrapText="1"/>
    </xf>
    <xf numFmtId="0" fontId="5" fillId="0" borderId="17" xfId="5" applyFont="1" applyFill="1" applyBorder="1" applyAlignment="1">
      <alignment vertical="center" wrapText="1"/>
    </xf>
    <xf numFmtId="0" fontId="5" fillId="0" borderId="10" xfId="5" applyFont="1" applyFill="1" applyBorder="1" applyAlignment="1">
      <alignment vertical="center"/>
    </xf>
    <xf numFmtId="0" fontId="5" fillId="0" borderId="17" xfId="5" applyFont="1" applyFill="1" applyBorder="1" applyAlignment="1">
      <alignment vertical="center"/>
    </xf>
    <xf numFmtId="0" fontId="5" fillId="0" borderId="10" xfId="5" applyFill="1" applyBorder="1" applyAlignment="1">
      <alignment vertical="center" wrapText="1"/>
    </xf>
    <xf numFmtId="0" fontId="5" fillId="0" borderId="17" xfId="5" applyFill="1" applyBorder="1" applyAlignment="1">
      <alignment vertical="center" wrapText="1"/>
    </xf>
    <xf numFmtId="0" fontId="5" fillId="0" borderId="9" xfId="5" applyFill="1" applyBorder="1" applyAlignment="1">
      <alignment horizontal="left" vertical="center" wrapText="1"/>
    </xf>
    <xf numFmtId="0" fontId="5" fillId="0" borderId="17" xfId="5" applyFill="1" applyBorder="1" applyAlignment="1">
      <alignment horizontal="left" vertical="center" wrapText="1"/>
    </xf>
    <xf numFmtId="0" fontId="14" fillId="0" borderId="10" xfId="5" applyFont="1" applyFill="1" applyBorder="1" applyAlignment="1">
      <alignment vertical="center" wrapText="1"/>
    </xf>
    <xf numFmtId="0" fontId="0" fillId="0" borderId="0" xfId="0"/>
    <xf numFmtId="0" fontId="0" fillId="0" borderId="0" xfId="0" applyAlignment="1">
      <alignment vertical="center"/>
    </xf>
    <xf numFmtId="0" fontId="10" fillId="0" borderId="0" xfId="11" applyFont="1" applyFill="1" applyBorder="1" applyAlignment="1">
      <alignment horizontal="left" vertical="center"/>
    </xf>
    <xf numFmtId="1" fontId="0" fillId="0" borderId="0" xfId="0" applyNumberFormat="1" applyProtection="1">
      <protection locked="0"/>
    </xf>
    <xf numFmtId="1" fontId="0" fillId="0" borderId="0" xfId="0" applyNumberFormat="1" applyAlignment="1" applyProtection="1">
      <alignment vertical="center"/>
      <protection locked="0"/>
    </xf>
    <xf numFmtId="0" fontId="0" fillId="0" borderId="0" xfId="0"/>
    <xf numFmtId="1" fontId="7" fillId="0" borderId="25" xfId="19" applyNumberFormat="1" applyProtection="1">
      <protection locked="0"/>
    </xf>
    <xf numFmtId="0" fontId="10" fillId="3" borderId="16" xfId="11" applyBorder="1" applyAlignment="1" applyProtection="1">
      <alignment horizontal="right" vertical="center"/>
    </xf>
    <xf numFmtId="0" fontId="10" fillId="3" borderId="8" xfId="11" applyBorder="1" applyAlignment="1" applyProtection="1">
      <alignment horizontal="left" vertical="center"/>
      <protection locked="0"/>
    </xf>
    <xf numFmtId="0" fontId="10" fillId="3" borderId="6" xfId="11" applyBorder="1" applyAlignment="1" applyProtection="1">
      <alignment horizontal="left" vertical="center"/>
      <protection locked="0"/>
    </xf>
    <xf numFmtId="0" fontId="5" fillId="0" borderId="12" xfId="5" applyFill="1" applyBorder="1" applyAlignment="1">
      <alignment horizontal="left" vertical="center" wrapText="1"/>
    </xf>
    <xf numFmtId="0" fontId="5" fillId="0" borderId="13" xfId="5" applyFill="1" applyBorder="1" applyAlignment="1">
      <alignment horizontal="left" vertical="center" wrapText="1"/>
    </xf>
    <xf numFmtId="0" fontId="12" fillId="0" borderId="12" xfId="11" applyFont="1" applyFill="1" applyBorder="1" applyAlignment="1">
      <alignment horizontal="left" vertical="center"/>
    </xf>
    <xf numFmtId="0" fontId="12" fillId="0" borderId="13" xfId="11" applyFont="1" applyFill="1" applyBorder="1" applyAlignment="1">
      <alignment horizontal="left" vertical="center"/>
    </xf>
    <xf numFmtId="0" fontId="7" fillId="0" borderId="0" xfId="7" applyBorder="1" applyAlignment="1">
      <alignment horizontal="center" vertical="center" textRotation="90"/>
    </xf>
    <xf numFmtId="0" fontId="7" fillId="0" borderId="8" xfId="7" applyBorder="1" applyAlignment="1">
      <alignment horizontal="center" vertical="center" textRotation="90"/>
    </xf>
    <xf numFmtId="0" fontId="0" fillId="0" borderId="0" xfId="0"/>
    <xf numFmtId="0" fontId="6" fillId="0" borderId="0" xfId="6" applyAlignment="1">
      <alignment horizontal="left"/>
    </xf>
    <xf numFmtId="0" fontId="9" fillId="0" borderId="3" xfId="10" applyBorder="1" applyAlignment="1">
      <alignment horizontal="center" vertical="center" textRotation="90"/>
    </xf>
    <xf numFmtId="0" fontId="6" fillId="0" borderId="0" xfId="6" applyBorder="1" applyAlignment="1">
      <alignment horizontal="left"/>
    </xf>
    <xf numFmtId="0" fontId="10" fillId="0" borderId="15" xfId="11" applyFont="1" applyFill="1" applyBorder="1" applyAlignment="1">
      <alignment horizontal="left" vertical="center"/>
    </xf>
    <xf numFmtId="0" fontId="10" fillId="0" borderId="13" xfId="11" applyFont="1" applyFill="1" applyBorder="1" applyAlignment="1">
      <alignment horizontal="left" vertical="center"/>
    </xf>
    <xf numFmtId="0" fontId="12" fillId="0" borderId="7" xfId="11" applyFont="1" applyFill="1" applyBorder="1" applyAlignment="1">
      <alignment horizontal="left" vertical="center"/>
    </xf>
    <xf numFmtId="0" fontId="12" fillId="0" borderId="9" xfId="11" applyFont="1" applyFill="1" applyBorder="1" applyAlignment="1">
      <alignment horizontal="left" vertical="center"/>
    </xf>
    <xf numFmtId="0" fontId="10" fillId="0" borderId="7" xfId="11" applyFont="1" applyFill="1" applyBorder="1" applyAlignment="1">
      <alignment horizontal="left" vertical="center"/>
    </xf>
    <xf numFmtId="0" fontId="10" fillId="0" borderId="9" xfId="11" applyFont="1" applyFill="1" applyBorder="1" applyAlignment="1">
      <alignment horizontal="left" vertical="center"/>
    </xf>
    <xf numFmtId="0" fontId="5" fillId="0" borderId="7" xfId="5" applyFill="1" applyBorder="1" applyAlignment="1">
      <alignment horizontal="left" vertical="center" wrapText="1"/>
    </xf>
    <xf numFmtId="0" fontId="5" fillId="0" borderId="9" xfId="5" applyFill="1" applyBorder="1" applyAlignment="1">
      <alignment horizontal="left" vertical="center" wrapText="1"/>
    </xf>
    <xf numFmtId="0" fontId="0" fillId="0" borderId="0" xfId="0" applyBorder="1" applyAlignment="1">
      <alignment horizontal="center" vertical="center"/>
    </xf>
    <xf numFmtId="0" fontId="9" fillId="0" borderId="3" xfId="10" applyAlignment="1">
      <alignment horizontal="center" vertical="center" textRotation="90"/>
    </xf>
    <xf numFmtId="0" fontId="0" fillId="0" borderId="11" xfId="0" applyBorder="1" applyAlignment="1">
      <alignment horizontal="center"/>
    </xf>
    <xf numFmtId="0" fontId="0" fillId="0" borderId="5" xfId="0" applyBorder="1" applyAlignment="1">
      <alignment horizontal="center"/>
    </xf>
    <xf numFmtId="0" fontId="7" fillId="0" borderId="0" xfId="7" applyAlignment="1">
      <alignment horizontal="center" vertical="center" textRotation="90"/>
    </xf>
    <xf numFmtId="0" fontId="4" fillId="2" borderId="22" xfId="4" applyBorder="1" applyAlignment="1">
      <alignment horizontal="center" shrinkToFit="1"/>
    </xf>
    <xf numFmtId="0" fontId="4" fillId="2" borderId="24" xfId="4" applyBorder="1" applyAlignment="1">
      <alignment horizontal="center" shrinkToFit="1"/>
    </xf>
    <xf numFmtId="0" fontId="4" fillId="2" borderId="23" xfId="4" applyBorder="1" applyAlignment="1">
      <alignment horizontal="center" shrinkToFit="1"/>
    </xf>
    <xf numFmtId="0" fontId="0" fillId="0" borderId="0" xfId="0" applyAlignment="1">
      <alignment vertical="center"/>
    </xf>
    <xf numFmtId="0" fontId="9" fillId="0" borderId="0" xfId="10" applyBorder="1" applyAlignment="1">
      <alignment horizontal="center" vertical="center" textRotation="90"/>
    </xf>
    <xf numFmtId="0" fontId="12" fillId="0" borderId="0" xfId="11" applyFont="1" applyFill="1" applyBorder="1" applyAlignment="1">
      <alignment horizontal="left" vertical="center"/>
    </xf>
    <xf numFmtId="0" fontId="10" fillId="0" borderId="0" xfId="11" applyFont="1" applyFill="1" applyBorder="1" applyAlignment="1">
      <alignment horizontal="left" vertical="center"/>
    </xf>
  </cellXfs>
  <cellStyles count="24">
    <cellStyle name="Calculation" xfId="4" builtinId="22"/>
    <cellStyle name="Explanatory Text" xfId="5" builtinId="53"/>
    <cellStyle name="Followed Hyperlink" xfId="3" builtinId="9" hidden="1"/>
    <cellStyle name="Followed Hyperlink" xfId="9" builtinId="9" hidden="1"/>
    <cellStyle name="Followed Hyperlink" xfId="14" builtinId="9" hidden="1"/>
    <cellStyle name="Followed Hyperlink" xfId="16" builtinId="9" hidden="1"/>
    <cellStyle name="Followed Hyperlink" xfId="18" builtinId="9" hidden="1"/>
    <cellStyle name="Followed Hyperlink" xfId="21" builtinId="9" hidden="1"/>
    <cellStyle name="Followed Hyperlink" xfId="23" builtinId="9" hidden="1"/>
    <cellStyle name="Heading 2" xfId="10" builtinId="17"/>
    <cellStyle name="Heading 3" xfId="19" builtinId="18"/>
    <cellStyle name="Heading 4" xfId="7" builtinId="19"/>
    <cellStyle name="Hyperlink" xfId="2" builtinId="8" hidden="1"/>
    <cellStyle name="Hyperlink" xfId="8" builtinId="8" hidden="1"/>
    <cellStyle name="Hyperlink" xfId="13" builtinId="8" hidden="1"/>
    <cellStyle name="Hyperlink" xfId="15" builtinId="8" hidden="1"/>
    <cellStyle name="Hyperlink" xfId="17" builtinId="8" hidden="1"/>
    <cellStyle name="Hyperlink" xfId="20" builtinId="8" hidden="1"/>
    <cellStyle name="Hyperlink" xfId="22" builtinId="8" hidden="1"/>
    <cellStyle name="Input" xfId="11" builtinId="20" customBuiltin="1"/>
    <cellStyle name="Normal" xfId="0" builtinId="0"/>
    <cellStyle name="Output" xfId="12" builtinId="21"/>
    <cellStyle name="Percent" xfId="1" builtinId="5"/>
    <cellStyle name="Title" xfId="6" builtinId="15"/>
  </cellStyles>
  <dxfs count="1014">
    <dxf>
      <font>
        <color rgb="FF9C5700"/>
      </font>
      <fill>
        <patternFill>
          <bgColor rgb="FFFFEB9C"/>
        </patternFill>
      </fill>
    </dxf>
    <dxf>
      <font>
        <color rgb="FF9C5700"/>
      </font>
      <fill>
        <patternFill>
          <bgColor rgb="FFFFEB9C"/>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val="0"/>
        <color rgb="FF9B5713"/>
      </font>
      <fill>
        <patternFill patternType="solid">
          <fgColor indexed="64"/>
          <bgColor rgb="FFF5EAA6"/>
        </patternFill>
      </fill>
    </dxf>
    <dxf>
      <font>
        <strike val="0"/>
        <color rgb="FF257247"/>
      </font>
      <fill>
        <patternFill patternType="solid">
          <fgColor indexed="64"/>
          <bgColor rgb="FF96DBA1"/>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strike/>
        <color rgb="FFFF0000"/>
      </font>
      <fill>
        <patternFill patternType="none">
          <fgColor indexed="64"/>
          <bgColor indexed="65"/>
        </patternFill>
      </fill>
    </dxf>
    <dxf>
      <font>
        <strike val="0"/>
        <color rgb="FF4BC738"/>
      </font>
      <fill>
        <patternFill patternType="none">
          <fgColor indexed="64"/>
          <bgColor indexed="65"/>
        </patternFill>
      </fill>
    </dxf>
    <dxf>
      <font>
        <color rgb="FF9C5700"/>
      </font>
      <fill>
        <patternFill>
          <bgColor rgb="FFFFEB9C"/>
        </patternFill>
      </fill>
    </dxf>
    <dxf>
      <font>
        <b/>
        <i val="0"/>
        <u/>
        <color rgb="FFFF0000"/>
      </font>
      <fill>
        <patternFill>
          <bgColor rgb="FFFFEB9C"/>
        </patternFill>
      </fill>
    </dxf>
    <dxf>
      <font>
        <b/>
        <i val="0"/>
        <u/>
        <color rgb="FFFF0000"/>
      </font>
      <fill>
        <patternFill>
          <bgColor rgb="FFFFEB9C"/>
        </patternFill>
      </fill>
    </dxf>
    <dxf>
      <font>
        <color rgb="FF9C5700"/>
      </font>
      <fill>
        <patternFill>
          <bgColor rgb="FFFFEB9C"/>
        </patternFill>
      </fill>
    </dxf>
  </dxfs>
  <tableStyles count="0" defaultTableStyle="TableStyleMedium9" defaultPivotStyle="PivotStyleMedium7"/>
  <colors>
    <mruColors>
      <color rgb="FFF2F2F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cap="all" spc="0" baseline="0">
                <a:gradFill>
                  <a:gsLst>
                    <a:gs pos="0">
                      <a:schemeClr val="dk1">
                        <a:lumMod val="50000"/>
                        <a:lumOff val="50000"/>
                      </a:schemeClr>
                    </a:gs>
                    <a:gs pos="100000">
                      <a:schemeClr val="dk1">
                        <a:lumMod val="85000"/>
                        <a:lumOff val="15000"/>
                      </a:schemeClr>
                    </a:gs>
                  </a:gsLst>
                  <a:lin ang="5400000" scaled="0"/>
                </a:gradFill>
                <a:latin typeface="+mn-lt"/>
                <a:ea typeface="+mn-ea"/>
                <a:cs typeface="+mn-cs"/>
              </a:defRPr>
            </a:pPr>
            <a:r>
              <a:rPr lang="en-US"/>
              <a:t>Tolerance Values</a:t>
            </a:r>
          </a:p>
        </c:rich>
      </c:tx>
      <c:overlay val="0"/>
      <c:spPr>
        <a:noFill/>
        <a:ln>
          <a:noFill/>
        </a:ln>
        <a:effectLst/>
      </c:spPr>
      <c:txPr>
        <a:bodyPr rot="0" spcFirstLastPara="1" vertOverflow="ellipsis" vert="horz" wrap="square" anchor="ctr" anchorCtr="1"/>
        <a:lstStyle/>
        <a:p>
          <a:pPr>
            <a:defRPr sz="1440" b="0" i="0" u="none" strike="noStrike" kern="1200" cap="all" spc="0" baseline="0">
              <a:gradFill>
                <a:gsLst>
                  <a:gs pos="0">
                    <a:schemeClr val="dk1">
                      <a:lumMod val="50000"/>
                      <a:lumOff val="50000"/>
                    </a:schemeClr>
                  </a:gs>
                  <a:gs pos="100000">
                    <a:schemeClr val="dk1">
                      <a:lumMod val="85000"/>
                      <a:lumOff val="15000"/>
                    </a:schemeClr>
                  </a:gs>
                </a:gsLst>
                <a:lin ang="5400000" scaled="0"/>
              </a:gradFill>
              <a:latin typeface="+mn-lt"/>
              <a:ea typeface="+mn-ea"/>
              <a:cs typeface="+mn-cs"/>
            </a:defRPr>
          </a:pPr>
          <a:endParaRPr lang="en-US"/>
        </a:p>
      </c:txPr>
    </c:title>
    <c:autoTitleDeleted val="0"/>
    <c:plotArea>
      <c:layout/>
      <c:lineChart>
        <c:grouping val="standard"/>
        <c:varyColors val="0"/>
        <c:ser>
          <c:idx val="0"/>
          <c:order val="0"/>
          <c:tx>
            <c:v>Failing Tolerance (worst tolerable case)</c:v>
          </c:tx>
          <c:spPr>
            <a:ln w="19050" cap="rnd" cmpd="sng" algn="ctr">
              <a:solidFill>
                <a:schemeClr val="accent1">
                  <a:shade val="95000"/>
                  <a:satMod val="105000"/>
                </a:schemeClr>
              </a:solidFill>
              <a:round/>
            </a:ln>
            <a:effectLst/>
          </c:spPr>
          <c:marker>
            <c:symbol val="circle"/>
            <c:size val="17"/>
            <c:spPr>
              <a:solidFill>
                <a:schemeClr val="lt1"/>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val>
            <c:numRef>
              <c:f>COMPARE!#REF!</c:f>
              <c:numCache>
                <c:formatCode>General</c:formatCode>
                <c:ptCount val="1"/>
                <c:pt idx="0">
                  <c:v>1</c:v>
                </c:pt>
              </c:numCache>
            </c:numRef>
          </c:val>
          <c:smooth val="0"/>
          <c:extLst>
            <c:ext xmlns:c16="http://schemas.microsoft.com/office/drawing/2014/chart" uri="{C3380CC4-5D6E-409C-BE32-E72D297353CC}">
              <c16:uniqueId val="{00000000-3719-436B-AD2B-212620ADC9BA}"/>
            </c:ext>
          </c:extLst>
        </c:ser>
        <c:ser>
          <c:idx val="1"/>
          <c:order val="1"/>
          <c:tx>
            <c:v>Failing Tolerance (best tolerable case)</c:v>
          </c:tx>
          <c:spPr>
            <a:ln w="19050" cap="rnd" cmpd="sng" algn="ctr">
              <a:solidFill>
                <a:schemeClr val="accent2">
                  <a:shade val="95000"/>
                  <a:satMod val="105000"/>
                </a:schemeClr>
              </a:solidFill>
              <a:round/>
            </a:ln>
            <a:effectLst/>
          </c:spPr>
          <c:marker>
            <c:symbol val="circle"/>
            <c:size val="17"/>
            <c:spPr>
              <a:solidFill>
                <a:schemeClr val="lt1"/>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2"/>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val>
            <c:numRef>
              <c:f>COMPARE!#REF!</c:f>
              <c:numCache>
                <c:formatCode>General</c:formatCode>
                <c:ptCount val="1"/>
                <c:pt idx="0">
                  <c:v>1</c:v>
                </c:pt>
              </c:numCache>
            </c:numRef>
          </c:val>
          <c:smooth val="0"/>
          <c:extLst>
            <c:ext xmlns:c16="http://schemas.microsoft.com/office/drawing/2014/chart" uri="{C3380CC4-5D6E-409C-BE32-E72D297353CC}">
              <c16:uniqueId val="{00000001-3719-436B-AD2B-212620ADC9BA}"/>
            </c:ext>
          </c:extLst>
        </c:ser>
        <c:ser>
          <c:idx val="2"/>
          <c:order val="2"/>
          <c:tx>
            <c:v>Compromising Tolerance (worst case)</c:v>
          </c:tx>
          <c:spPr>
            <a:ln w="19050" cap="rnd" cmpd="sng" algn="ctr">
              <a:solidFill>
                <a:schemeClr val="accent3">
                  <a:shade val="95000"/>
                  <a:satMod val="105000"/>
                </a:schemeClr>
              </a:solidFill>
              <a:round/>
            </a:ln>
            <a:effectLst/>
          </c:spPr>
          <c:marker>
            <c:symbol val="circle"/>
            <c:size val="17"/>
            <c:spPr>
              <a:solidFill>
                <a:schemeClr val="lt1"/>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3"/>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val>
            <c:numRef>
              <c:f>COMPARE!#REF!</c:f>
              <c:numCache>
                <c:formatCode>General</c:formatCode>
                <c:ptCount val="1"/>
                <c:pt idx="0">
                  <c:v>1</c:v>
                </c:pt>
              </c:numCache>
            </c:numRef>
          </c:val>
          <c:smooth val="0"/>
          <c:extLst>
            <c:ext xmlns:c16="http://schemas.microsoft.com/office/drawing/2014/chart" uri="{C3380CC4-5D6E-409C-BE32-E72D297353CC}">
              <c16:uniqueId val="{00000002-3719-436B-AD2B-212620ADC9BA}"/>
            </c:ext>
          </c:extLst>
        </c:ser>
        <c:dLbls>
          <c:dLblPos val="ctr"/>
          <c:showLegendKey val="0"/>
          <c:showVal val="1"/>
          <c:showCatName val="0"/>
          <c:showSerName val="0"/>
          <c:showPercent val="0"/>
          <c:showBubbleSize val="0"/>
        </c:dLbls>
        <c:marker val="1"/>
        <c:smooth val="0"/>
        <c:axId val="-1733098000"/>
        <c:axId val="-1756188032"/>
      </c:lineChart>
      <c:catAx>
        <c:axId val="-1733098000"/>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r>
                  <a:rPr lang="en-US"/>
                  <a:t>Configuration Number</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dk1">
                    <a:lumMod val="65000"/>
                    <a:lumOff val="35000"/>
                  </a:schemeClr>
                </a:solidFill>
                <a:latin typeface="+mn-lt"/>
                <a:ea typeface="+mn-ea"/>
                <a:cs typeface="+mn-cs"/>
              </a:defRPr>
            </a:pPr>
            <a:endParaRPr lang="en-US"/>
          </a:p>
        </c:txPr>
        <c:crossAx val="-1756188032"/>
        <c:crosses val="autoZero"/>
        <c:auto val="1"/>
        <c:lblAlgn val="ctr"/>
        <c:lblOffset val="100"/>
        <c:noMultiLvlLbl val="0"/>
      </c:catAx>
      <c:valAx>
        <c:axId val="-1756188032"/>
        <c:scaling>
          <c:orientation val="minMax"/>
        </c:scaling>
        <c:delete val="0"/>
        <c:axPos val="l"/>
        <c:title>
          <c:tx>
            <c:rich>
              <a:bodyPr rot="-54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r>
                  <a:rPr lang="en-US"/>
                  <a:t>Nodes</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17330980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paperSize="9" orientation="portrait" horizontalDpi="0" verticalDpi="0"/>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Tolerance Values (absolute)</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lineChart>
        <c:grouping val="standard"/>
        <c:varyColors val="0"/>
        <c:ser>
          <c:idx val="0"/>
          <c:order val="0"/>
          <c:tx>
            <c:v>Failing Tolerance (worst tolerable case)</c:v>
          </c:tx>
          <c:spPr>
            <a:ln w="31750" cap="rnd">
              <a:solidFill>
                <a:schemeClr val="accent1"/>
              </a:solidFill>
              <a:round/>
            </a:ln>
            <a:effectLst/>
          </c:spPr>
          <c:marker>
            <c:symbol val="circle"/>
            <c:size val="17"/>
            <c:spPr>
              <a:solidFill>
                <a:schemeClr val="accent1"/>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val>
            <c:numRef>
              <c:f>COMPARE!FAILING_TOLERANCE_WORST_CHART</c:f>
              <c:numCache>
                <c:formatCode>0</c:formatCode>
                <c:ptCount val="1"/>
                <c:pt idx="0">
                  <c:v>2</c:v>
                </c:pt>
              </c:numCache>
            </c:numRef>
          </c:val>
          <c:smooth val="0"/>
          <c:extLst>
            <c:ext xmlns:c16="http://schemas.microsoft.com/office/drawing/2014/chart" uri="{C3380CC4-5D6E-409C-BE32-E72D297353CC}">
              <c16:uniqueId val="{00000000-AAF2-4D98-A539-3D7833D5EDBD}"/>
            </c:ext>
          </c:extLst>
        </c:ser>
        <c:ser>
          <c:idx val="1"/>
          <c:order val="1"/>
          <c:tx>
            <c:v>Failing Tolerance (best tolerable case)</c:v>
          </c:tx>
          <c:spPr>
            <a:ln w="31750" cap="rnd">
              <a:solidFill>
                <a:schemeClr val="accent2"/>
              </a:solidFill>
              <a:round/>
            </a:ln>
            <a:effectLst/>
          </c:spPr>
          <c:marker>
            <c:symbol val="circle"/>
            <c:size val="17"/>
            <c:spPr>
              <a:solidFill>
                <a:schemeClr val="accent2"/>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val>
            <c:numRef>
              <c:f>COMPARE!FAILING_TOLERANCE_BEST_CHART</c:f>
              <c:numCache>
                <c:formatCode>0</c:formatCode>
                <c:ptCount val="1"/>
                <c:pt idx="0">
                  <c:v>3</c:v>
                </c:pt>
              </c:numCache>
            </c:numRef>
          </c:val>
          <c:smooth val="0"/>
          <c:extLst>
            <c:ext xmlns:c16="http://schemas.microsoft.com/office/drawing/2014/chart" uri="{C3380CC4-5D6E-409C-BE32-E72D297353CC}">
              <c16:uniqueId val="{00000001-AAF2-4D98-A539-3D7833D5EDBD}"/>
            </c:ext>
          </c:extLst>
        </c:ser>
        <c:ser>
          <c:idx val="2"/>
          <c:order val="2"/>
          <c:tx>
            <c:v>Compromising Tolerance (worst case)</c:v>
          </c:tx>
          <c:spPr>
            <a:ln w="31750" cap="rnd">
              <a:solidFill>
                <a:schemeClr val="accent3"/>
              </a:solidFill>
              <a:round/>
            </a:ln>
            <a:effectLst/>
          </c:spPr>
          <c:marker>
            <c:symbol val="circle"/>
            <c:size val="17"/>
            <c:spPr>
              <a:solidFill>
                <a:schemeClr val="accent3"/>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val>
            <c:numRef>
              <c:f>COMPARE!COMPROMISING_TOLERANCE_CHART</c:f>
              <c:numCache>
                <c:formatCode>0</c:formatCode>
                <c:ptCount val="1"/>
                <c:pt idx="0">
                  <c:v>2</c:v>
                </c:pt>
              </c:numCache>
            </c:numRef>
          </c:val>
          <c:smooth val="0"/>
          <c:extLst>
            <c:ext xmlns:c16="http://schemas.microsoft.com/office/drawing/2014/chart" uri="{C3380CC4-5D6E-409C-BE32-E72D297353CC}">
              <c16:uniqueId val="{00000002-AAF2-4D98-A539-3D7833D5EDBD}"/>
            </c:ext>
          </c:extLst>
        </c:ser>
        <c:dLbls>
          <c:dLblPos val="ctr"/>
          <c:showLegendKey val="0"/>
          <c:showVal val="1"/>
          <c:showCatName val="0"/>
          <c:showSerName val="0"/>
          <c:showPercent val="0"/>
          <c:showBubbleSize val="0"/>
        </c:dLbls>
        <c:marker val="1"/>
        <c:smooth val="0"/>
        <c:axId val="-1735741744"/>
        <c:axId val="-1736308128"/>
      </c:lineChart>
      <c:catAx>
        <c:axId val="-1735741744"/>
        <c:scaling>
          <c:orientation val="minMax"/>
        </c:scaling>
        <c:delete val="0"/>
        <c:axPos val="b"/>
        <c:title>
          <c:tx>
            <c:rich>
              <a:bodyPr rot="0" spcFirstLastPara="1" vertOverflow="ellipsis" vert="horz" wrap="square" anchor="ctr" anchorCtr="1"/>
              <a:lstStyle/>
              <a:p>
                <a:pPr>
                  <a:defRPr sz="1400" b="1" i="0" u="none" strike="noStrike" kern="1200" baseline="0">
                    <a:solidFill>
                      <a:schemeClr val="dk1">
                        <a:lumMod val="75000"/>
                        <a:lumOff val="25000"/>
                      </a:schemeClr>
                    </a:solidFill>
                    <a:latin typeface="+mn-lt"/>
                    <a:ea typeface="+mn-ea"/>
                    <a:cs typeface="+mn-cs"/>
                  </a:defRPr>
                </a:pPr>
                <a:r>
                  <a:rPr lang="en-US" sz="1400"/>
                  <a:t>Configuration</a:t>
                </a:r>
              </a:p>
            </c:rich>
          </c:tx>
          <c:overlay val="0"/>
          <c:spPr>
            <a:noFill/>
            <a:ln>
              <a:noFill/>
            </a:ln>
            <a:effectLst/>
          </c:spPr>
          <c:txPr>
            <a:bodyPr rot="0" spcFirstLastPara="1" vertOverflow="ellipsis" vert="horz" wrap="square" anchor="ctr" anchorCtr="1"/>
            <a:lstStyle/>
            <a:p>
              <a:pPr>
                <a:defRPr sz="1400" b="1" i="0" u="none" strike="noStrike" kern="1200" baseline="0">
                  <a:solidFill>
                    <a:schemeClr val="dk1">
                      <a:lumMod val="75000"/>
                      <a:lumOff val="25000"/>
                    </a:schemeClr>
                  </a:solidFill>
                  <a:latin typeface="+mn-lt"/>
                  <a:ea typeface="+mn-ea"/>
                  <a:cs typeface="+mn-cs"/>
                </a:defRPr>
              </a:pPr>
              <a:endParaRPr lang="en-US"/>
            </a:p>
          </c:txPr>
        </c:title>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736308128"/>
        <c:crosses val="autoZero"/>
        <c:auto val="1"/>
        <c:lblAlgn val="ctr"/>
        <c:lblOffset val="100"/>
        <c:noMultiLvlLbl val="0"/>
      </c:catAx>
      <c:valAx>
        <c:axId val="-1736308128"/>
        <c:scaling>
          <c:orientation val="minMax"/>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title>
          <c:tx>
            <c:rich>
              <a:bodyPr rot="-5400000" spcFirstLastPara="1" vertOverflow="ellipsis" vert="horz" wrap="square" anchor="ctr" anchorCtr="1"/>
              <a:lstStyle/>
              <a:p>
                <a:pPr>
                  <a:defRPr sz="1400" b="1" i="0" u="none" strike="noStrike" kern="1200" baseline="0">
                    <a:solidFill>
                      <a:schemeClr val="dk1">
                        <a:lumMod val="75000"/>
                        <a:lumOff val="25000"/>
                      </a:schemeClr>
                    </a:solidFill>
                    <a:latin typeface="+mn-lt"/>
                    <a:ea typeface="+mn-ea"/>
                    <a:cs typeface="+mn-cs"/>
                  </a:defRPr>
                </a:pPr>
                <a:r>
                  <a:rPr lang="en-US" sz="1400"/>
                  <a:t>Nodes</a:t>
                </a:r>
              </a:p>
            </c:rich>
          </c:tx>
          <c:overlay val="0"/>
          <c:spPr>
            <a:noFill/>
            <a:ln>
              <a:noFill/>
            </a:ln>
            <a:effectLst/>
          </c:spPr>
          <c:txPr>
            <a:bodyPr rot="-5400000" spcFirstLastPara="1" vertOverflow="ellipsis" vert="horz" wrap="square" anchor="ctr" anchorCtr="1"/>
            <a:lstStyle/>
            <a:p>
              <a:pPr>
                <a:defRPr sz="1400" b="1" i="0" u="none" strike="noStrike" kern="1200" baseline="0">
                  <a:solidFill>
                    <a:schemeClr val="dk1">
                      <a:lumMod val="75000"/>
                      <a:lumOff val="2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1735741744"/>
        <c:crosses val="autoZero"/>
        <c:crossBetween val="between"/>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12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paperSize="9" orientation="portrait" horizontalDpi="0" verticalDpi="0"/>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Tolerance Values (relative)</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barChart>
        <c:barDir val="col"/>
        <c:grouping val="clustered"/>
        <c:varyColors val="0"/>
        <c:ser>
          <c:idx val="0"/>
          <c:order val="0"/>
          <c:tx>
            <c:v>Failing Tolerance (worst tolerable case)</c:v>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val>
            <c:numRef>
              <c:f>COMPARE!FAILING_TOLERANCE_WORST_PER_CHART</c:f>
              <c:numCache>
                <c:formatCode>0</c:formatCode>
                <c:ptCount val="1"/>
                <c:pt idx="0">
                  <c:v>33.333333333333329</c:v>
                </c:pt>
              </c:numCache>
            </c:numRef>
          </c:val>
          <c:extLst>
            <c:ext xmlns:c16="http://schemas.microsoft.com/office/drawing/2014/chart" uri="{C3380CC4-5D6E-409C-BE32-E72D297353CC}">
              <c16:uniqueId val="{00000000-1209-4E50-9D73-40B4328433BE}"/>
            </c:ext>
          </c:extLst>
        </c:ser>
        <c:ser>
          <c:idx val="1"/>
          <c:order val="1"/>
          <c:tx>
            <c:v>Failing Tolerance (best tolerable case)</c:v>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val>
            <c:numRef>
              <c:f>COMPARE!FAILING_TOLERANCE_BEST_PER_CHART</c:f>
              <c:numCache>
                <c:formatCode>0</c:formatCode>
                <c:ptCount val="1"/>
                <c:pt idx="0">
                  <c:v>50</c:v>
                </c:pt>
              </c:numCache>
            </c:numRef>
          </c:val>
          <c:extLst>
            <c:ext xmlns:c16="http://schemas.microsoft.com/office/drawing/2014/chart" uri="{C3380CC4-5D6E-409C-BE32-E72D297353CC}">
              <c16:uniqueId val="{00000001-1209-4E50-9D73-40B4328433BE}"/>
            </c:ext>
          </c:extLst>
        </c:ser>
        <c:ser>
          <c:idx val="2"/>
          <c:order val="2"/>
          <c:tx>
            <c:v>Compromising Tolerance (worst case)</c:v>
          </c:tx>
          <c:spPr>
            <a:solidFill>
              <a:schemeClr val="accent3">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val>
            <c:numRef>
              <c:f>COMPARE!COMPROMISING_TOLERANCE_PER_CHART</c:f>
              <c:numCache>
                <c:formatCode>0</c:formatCode>
                <c:ptCount val="1"/>
                <c:pt idx="0">
                  <c:v>33.333333333333329</c:v>
                </c:pt>
              </c:numCache>
            </c:numRef>
          </c:val>
          <c:extLst>
            <c:ext xmlns:c16="http://schemas.microsoft.com/office/drawing/2014/chart" uri="{C3380CC4-5D6E-409C-BE32-E72D297353CC}">
              <c16:uniqueId val="{00000002-1209-4E50-9D73-40B4328433BE}"/>
            </c:ext>
          </c:extLst>
        </c:ser>
        <c:dLbls>
          <c:dLblPos val="inEnd"/>
          <c:showLegendKey val="0"/>
          <c:showVal val="1"/>
          <c:showCatName val="0"/>
          <c:showSerName val="0"/>
          <c:showPercent val="0"/>
          <c:showBubbleSize val="0"/>
        </c:dLbls>
        <c:gapWidth val="65"/>
        <c:axId val="-1857138128"/>
        <c:axId val="-1729571120"/>
      </c:barChart>
      <c:catAx>
        <c:axId val="-1857138128"/>
        <c:scaling>
          <c:orientation val="minMax"/>
        </c:scaling>
        <c:delete val="0"/>
        <c:axPos val="b"/>
        <c:title>
          <c:tx>
            <c:rich>
              <a:bodyPr rot="0" spcFirstLastPara="1" vertOverflow="ellipsis" vert="horz" wrap="square" anchor="ctr" anchorCtr="1"/>
              <a:lstStyle/>
              <a:p>
                <a:pPr>
                  <a:defRPr sz="1400" b="1" i="0" u="none" strike="noStrike" kern="1200" baseline="0">
                    <a:solidFill>
                      <a:schemeClr val="dk1">
                        <a:lumMod val="75000"/>
                        <a:lumOff val="25000"/>
                      </a:schemeClr>
                    </a:solidFill>
                    <a:latin typeface="+mn-lt"/>
                    <a:ea typeface="+mn-ea"/>
                    <a:cs typeface="+mn-cs"/>
                  </a:defRPr>
                </a:pPr>
                <a:r>
                  <a:rPr lang="en-US" sz="1400"/>
                  <a:t>Configuration</a:t>
                </a:r>
              </a:p>
            </c:rich>
          </c:tx>
          <c:overlay val="0"/>
          <c:spPr>
            <a:noFill/>
            <a:ln>
              <a:noFill/>
            </a:ln>
            <a:effectLst/>
          </c:spPr>
          <c:txPr>
            <a:bodyPr rot="0" spcFirstLastPara="1" vertOverflow="ellipsis" vert="horz" wrap="square" anchor="ctr" anchorCtr="1"/>
            <a:lstStyle/>
            <a:p>
              <a:pPr>
                <a:defRPr sz="1400" b="1" i="0" u="none" strike="noStrike" kern="1200" baseline="0">
                  <a:solidFill>
                    <a:schemeClr val="dk1">
                      <a:lumMod val="75000"/>
                      <a:lumOff val="25000"/>
                    </a:schemeClr>
                  </a:solidFill>
                  <a:latin typeface="+mn-lt"/>
                  <a:ea typeface="+mn-ea"/>
                  <a:cs typeface="+mn-cs"/>
                </a:defRPr>
              </a:pPr>
              <a:endParaRPr lang="en-US"/>
            </a:p>
          </c:txPr>
        </c:title>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729571120"/>
        <c:crosses val="autoZero"/>
        <c:auto val="1"/>
        <c:lblAlgn val="ctr"/>
        <c:lblOffset val="100"/>
        <c:noMultiLvlLbl val="0"/>
      </c:catAx>
      <c:valAx>
        <c:axId val="-1729571120"/>
        <c:scaling>
          <c:orientation val="minMax"/>
          <c:max val="100"/>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title>
          <c:tx>
            <c:rich>
              <a:bodyPr rot="-5400000" spcFirstLastPara="1" vertOverflow="ellipsis" vert="horz" wrap="square" anchor="ctr" anchorCtr="1"/>
              <a:lstStyle/>
              <a:p>
                <a:pPr>
                  <a:defRPr sz="1400" b="1" i="0" u="none" strike="noStrike" kern="1200" baseline="0">
                    <a:solidFill>
                      <a:schemeClr val="dk1">
                        <a:lumMod val="75000"/>
                        <a:lumOff val="25000"/>
                      </a:schemeClr>
                    </a:solidFill>
                    <a:latin typeface="+mn-lt"/>
                    <a:ea typeface="+mn-ea"/>
                    <a:cs typeface="+mn-cs"/>
                  </a:defRPr>
                </a:pPr>
                <a:r>
                  <a:rPr lang="en-US" sz="1400"/>
                  <a:t>%</a:t>
                </a:r>
                <a:r>
                  <a:rPr lang="en-US" sz="1400" baseline="0"/>
                  <a:t> </a:t>
                </a:r>
                <a:r>
                  <a:rPr lang="en-US" sz="1400"/>
                  <a:t>of all Nodes</a:t>
                </a:r>
              </a:p>
            </c:rich>
          </c:tx>
          <c:overlay val="0"/>
          <c:spPr>
            <a:noFill/>
            <a:ln>
              <a:noFill/>
            </a:ln>
            <a:effectLst/>
          </c:spPr>
          <c:txPr>
            <a:bodyPr rot="-5400000" spcFirstLastPara="1" vertOverflow="ellipsis" vert="horz" wrap="square" anchor="ctr" anchorCtr="1"/>
            <a:lstStyle/>
            <a:p>
              <a:pPr>
                <a:defRPr sz="1400" b="1" i="0" u="none" strike="noStrike" kern="1200" baseline="0">
                  <a:solidFill>
                    <a:schemeClr val="dk1">
                      <a:lumMod val="75000"/>
                      <a:lumOff val="2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1857138128"/>
        <c:crosses val="autoZero"/>
        <c:crossBetween val="between"/>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12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paperSize="9" orientation="portrait" horizontalDpi="0" verticalDpi="0"/>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Data Rate</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lineChart>
        <c:grouping val="standard"/>
        <c:varyColors val="0"/>
        <c:ser>
          <c:idx val="0"/>
          <c:order val="0"/>
          <c:spPr>
            <a:ln w="31750" cap="rnd">
              <a:solidFill>
                <a:schemeClr val="accent1"/>
              </a:solidFill>
              <a:round/>
            </a:ln>
            <a:effectLst/>
          </c:spPr>
          <c:marker>
            <c:symbol val="circle"/>
            <c:size val="17"/>
            <c:spPr>
              <a:solidFill>
                <a:schemeClr val="accent1"/>
              </a:solidFill>
              <a:ln>
                <a:noFill/>
              </a:ln>
              <a:effectLst/>
            </c:spPr>
          </c:marker>
          <c:val>
            <c:numRef>
              <c:f>COMPARE!DATA_RATE_CHART</c:f>
              <c:numCache>
                <c:formatCode>0</c:formatCode>
                <c:ptCount val="1"/>
                <c:pt idx="0">
                  <c:v>458</c:v>
                </c:pt>
              </c:numCache>
            </c:numRef>
          </c:val>
          <c:smooth val="0"/>
          <c:extLst>
            <c:ext xmlns:c16="http://schemas.microsoft.com/office/drawing/2014/chart" uri="{C3380CC4-5D6E-409C-BE32-E72D297353CC}">
              <c16:uniqueId val="{00000000-CA81-4FF0-82D5-1FB16C1ABEE2}"/>
            </c:ext>
          </c:extLst>
        </c:ser>
        <c:dLbls>
          <c:showLegendKey val="0"/>
          <c:showVal val="0"/>
          <c:showCatName val="0"/>
          <c:showSerName val="0"/>
          <c:showPercent val="0"/>
          <c:showBubbleSize val="0"/>
        </c:dLbls>
        <c:marker val="1"/>
        <c:smooth val="0"/>
        <c:axId val="-1856287824"/>
        <c:axId val="-1753738336"/>
      </c:lineChart>
      <c:catAx>
        <c:axId val="-1856287824"/>
        <c:scaling>
          <c:orientation val="minMax"/>
        </c:scaling>
        <c:delete val="0"/>
        <c:axPos val="b"/>
        <c:title>
          <c:tx>
            <c:rich>
              <a:bodyPr rot="0" spcFirstLastPara="1" vertOverflow="ellipsis" vert="horz" wrap="square" anchor="ctr" anchorCtr="1"/>
              <a:lstStyle/>
              <a:p>
                <a:pPr>
                  <a:defRPr sz="1400" b="1" i="0" u="none" strike="noStrike" kern="1200" baseline="0">
                    <a:solidFill>
                      <a:schemeClr val="dk1">
                        <a:lumMod val="75000"/>
                        <a:lumOff val="25000"/>
                      </a:schemeClr>
                    </a:solidFill>
                    <a:latin typeface="+mn-lt"/>
                    <a:ea typeface="+mn-ea"/>
                    <a:cs typeface="+mn-cs"/>
                  </a:defRPr>
                </a:pPr>
                <a:r>
                  <a:rPr lang="en-US" sz="1400"/>
                  <a:t>Configuration</a:t>
                </a:r>
              </a:p>
            </c:rich>
          </c:tx>
          <c:overlay val="0"/>
          <c:spPr>
            <a:noFill/>
            <a:ln>
              <a:noFill/>
            </a:ln>
            <a:effectLst/>
          </c:spPr>
          <c:txPr>
            <a:bodyPr rot="0" spcFirstLastPara="1" vertOverflow="ellipsis" vert="horz" wrap="square" anchor="ctr" anchorCtr="1"/>
            <a:lstStyle/>
            <a:p>
              <a:pPr>
                <a:defRPr sz="1400" b="1" i="0" u="none" strike="noStrike" kern="1200" baseline="0">
                  <a:solidFill>
                    <a:schemeClr val="dk1">
                      <a:lumMod val="75000"/>
                      <a:lumOff val="25000"/>
                    </a:schemeClr>
                  </a:solidFill>
                  <a:latin typeface="+mn-lt"/>
                  <a:ea typeface="+mn-ea"/>
                  <a:cs typeface="+mn-cs"/>
                </a:defRPr>
              </a:pPr>
              <a:endParaRPr lang="en-US"/>
            </a:p>
          </c:txPr>
        </c:title>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753738336"/>
        <c:crosses val="autoZero"/>
        <c:auto val="1"/>
        <c:lblAlgn val="ctr"/>
        <c:lblOffset val="100"/>
        <c:noMultiLvlLbl val="0"/>
      </c:catAx>
      <c:valAx>
        <c:axId val="-1753738336"/>
        <c:scaling>
          <c:orientation val="minMax"/>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title>
          <c:tx>
            <c:rich>
              <a:bodyPr rot="-5400000" spcFirstLastPara="1" vertOverflow="ellipsis" vert="horz" wrap="square" anchor="ctr" anchorCtr="1"/>
              <a:lstStyle/>
              <a:p>
                <a:pPr>
                  <a:defRPr sz="1400" b="1" i="0" u="none" strike="noStrike" kern="1200" baseline="0">
                    <a:solidFill>
                      <a:schemeClr val="dk1">
                        <a:lumMod val="75000"/>
                        <a:lumOff val="25000"/>
                      </a:schemeClr>
                    </a:solidFill>
                    <a:latin typeface="+mn-lt"/>
                    <a:ea typeface="+mn-ea"/>
                    <a:cs typeface="+mn-cs"/>
                  </a:defRPr>
                </a:pPr>
                <a:r>
                  <a:rPr lang="en-US" sz="1400"/>
                  <a:t>bytes/seconds</a:t>
                </a:r>
              </a:p>
            </c:rich>
          </c:tx>
          <c:overlay val="0"/>
          <c:spPr>
            <a:noFill/>
            <a:ln>
              <a:noFill/>
            </a:ln>
            <a:effectLst/>
          </c:spPr>
          <c:txPr>
            <a:bodyPr rot="-5400000" spcFirstLastPara="1" vertOverflow="ellipsis" vert="horz" wrap="square" anchor="ctr" anchorCtr="1"/>
            <a:lstStyle/>
            <a:p>
              <a:pPr>
                <a:defRPr sz="1400" b="1" i="0" u="none" strike="noStrike" kern="1200" baseline="0">
                  <a:solidFill>
                    <a:schemeClr val="dk1">
                      <a:lumMod val="75000"/>
                      <a:lumOff val="2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1856287824"/>
        <c:crosses val="autoZero"/>
        <c:crossBetween val="between"/>
      </c:valAx>
      <c:spPr>
        <a:noFill/>
        <a:ln>
          <a:noFill/>
        </a:ln>
        <a:effectLst/>
      </c:spPr>
    </c:plotArea>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4">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1000" kern="120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cs:styleClr val="auto"/>
    </cs:fontRef>
    <cs:spPr/>
    <cs:defRPr sz="900" b="1" i="0" u="none" strike="noStrike" kern="1200" baseline="0"/>
  </cs:dataLabel>
  <cs:dataLabelCallout>
    <cs:lnRef idx="0"/>
    <cs:fillRef idx="0"/>
    <cs:effectRef idx="0"/>
    <cs:fontRef idx="minor">
      <a:schemeClr val="dk1">
        <a:lumMod val="65000"/>
        <a:lumOff val="35000"/>
      </a:schemeClr>
    </cs:fontRef>
    <cs:spPr>
      <a:solidFill>
        <a:schemeClr val="lt1"/>
      </a:solidFill>
      <a:ln w="9575">
        <a:solidFill>
          <a:schemeClr val="lt1">
            <a:lumMod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19050" cap="rnd" cmpd="sng" algn="ctr">
        <a:solidFill>
          <a:schemeClr val="phClr">
            <a:shade val="95000"/>
            <a:satMod val="105000"/>
          </a:schemeClr>
        </a:solidFill>
        <a:round/>
      </a:ln>
    </cs:spPr>
  </cs:dataPointLine>
  <cs:dataPointMarker>
    <cs:lnRef idx="0"/>
    <cs:fillRef idx="0"/>
    <cs:effectRef idx="0"/>
    <cs:fontRef idx="minor">
      <a:schemeClr val="dk1"/>
    </cs:fontRef>
    <cs:spPr>
      <a:solidFill>
        <a:schemeClr val="lt1"/>
      </a:solidFill>
    </cs:spPr>
  </cs:dataPointMarker>
  <cs:dataPointMarkerLayout symbol="circle" size="17"/>
  <cs:dataPointWireframe>
    <cs:lnRef idx="0">
      <cs:styleClr val="auto"/>
    </cs:lnRef>
    <cs:fillRef idx="1"/>
    <cs:effectRef idx="0"/>
    <cs:fontRef idx="minor">
      <a:schemeClr val="dk1"/>
    </cs:fontRef>
    <cs:spPr>
      <a:ln w="9525">
        <a:solidFill>
          <a:schemeClr val="phClr"/>
        </a:solidFill>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50000"/>
            <a:lumOff val="50000"/>
          </a:schemeClr>
        </a:solidFill>
      </a:ln>
    </cs:spPr>
  </cs:downBar>
  <cs:dropLine>
    <cs:lnRef idx="0"/>
    <cs:fillRef idx="0"/>
    <cs:effectRef idx="0"/>
    <cs:fontRef idx="minor">
      <a:schemeClr val="dk1"/>
    </cs:fontRef>
    <cs:spPr>
      <a:ln w="9525">
        <a:solidFill>
          <a:schemeClr val="dk1">
            <a:lumMod val="35000"/>
            <a:lumOff val="65000"/>
          </a:schemeClr>
        </a:solidFill>
      </a:ln>
    </cs:spPr>
  </cs:dropLine>
  <cs:errorBar>
    <cs:lnRef idx="0"/>
    <cs:fillRef idx="0"/>
    <cs:effectRef idx="0"/>
    <cs:fontRef idx="minor">
      <a:schemeClr val="dk1"/>
    </cs:fontRef>
    <cs:spPr>
      <a:ln w="9525">
        <a:solidFill>
          <a:schemeClr val="dk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ln>
    </cs:spPr>
  </cs:seriesLine>
  <cs:title>
    <cs:lnRef idx="0"/>
    <cs:fillRef idx="0"/>
    <cs:effectRef idx="0"/>
    <cs:fontRef idx="minor">
      <a:schemeClr val="dk1"/>
    </cs:fontRef>
    <cs:defRPr sz="1440" b="0" kern="1200" cap="all" spc="0" baseline="0">
      <a:gradFill>
        <a:gsLst>
          <a:gs pos="0">
            <a:schemeClr val="dk1">
              <a:lumMod val="50000"/>
              <a:lumOff val="50000"/>
            </a:schemeClr>
          </a:gs>
          <a:gs pos="100000">
            <a:schemeClr val="dk1">
              <a:lumMod val="85000"/>
              <a:lumOff val="15000"/>
            </a:schemeClr>
          </a:gs>
        </a:gsLst>
        <a:lin ang="5400000" scaled="0"/>
      </a:gradFill>
    </cs:defRPr>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50000"/>
            <a:lumOff val="50000"/>
          </a:schemeClr>
        </a:solidFill>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2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styleClr val="auto"/>
    </cs:fillRef>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17"/>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2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styleClr val="auto"/>
    </cs:fillRef>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17"/>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38100</xdr:colOff>
          <xdr:row>0</xdr:row>
          <xdr:rowOff>0</xdr:rowOff>
        </xdr:from>
        <xdr:to>
          <xdr:col>5</xdr:col>
          <xdr:colOff>2781300</xdr:colOff>
          <xdr:row>0</xdr:row>
          <xdr:rowOff>571500</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200" b="0" i="0" u="none" strike="noStrike" baseline="0">
                  <a:solidFill>
                    <a:srgbClr val="000000"/>
                  </a:solidFill>
                  <a:latin typeface="Helvetica"/>
                  <a:cs typeface="Helvetica"/>
                </a:rPr>
                <a:t>VISUALIZE EVALUATION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5676900</xdr:colOff>
          <xdr:row>0</xdr:row>
          <xdr:rowOff>0</xdr:rowOff>
        </xdr:from>
        <xdr:to>
          <xdr:col>5</xdr:col>
          <xdr:colOff>8410575</xdr:colOff>
          <xdr:row>0</xdr:row>
          <xdr:rowOff>571500</xdr:rowOff>
        </xdr:to>
        <xdr:sp macro="" textlink="">
          <xdr:nvSpPr>
            <xdr:cNvPr id="1036" name="Button 12" hidden="1">
              <a:extLst>
                <a:ext uri="{63B3BB69-23CF-44E3-9099-C40C66FF867C}">
                  <a14:compatExt spid="_x0000_s103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200" b="0" i="0" u="none" strike="noStrike" baseline="0">
                  <a:solidFill>
                    <a:srgbClr val="000000"/>
                  </a:solidFill>
                  <a:latin typeface="Helvetica"/>
                  <a:cs typeface="Helvetica"/>
                </a:rPr>
                <a:t>RESET VALUES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2857500</xdr:colOff>
          <xdr:row>0</xdr:row>
          <xdr:rowOff>0</xdr:rowOff>
        </xdr:from>
        <xdr:to>
          <xdr:col>5</xdr:col>
          <xdr:colOff>5600700</xdr:colOff>
          <xdr:row>0</xdr:row>
          <xdr:rowOff>571500</xdr:rowOff>
        </xdr:to>
        <xdr:sp macro="" textlink="">
          <xdr:nvSpPr>
            <xdr:cNvPr id="1038" name="Button 14" hidden="1">
              <a:extLst>
                <a:ext uri="{63B3BB69-23CF-44E3-9099-C40C66FF867C}">
                  <a14:compatExt spid="_x0000_s103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200" b="0" i="0" u="none" strike="noStrike" baseline="0">
                  <a:solidFill>
                    <a:srgbClr val="000000"/>
                  </a:solidFill>
                  <a:latin typeface="Helvetica"/>
                  <a:cs typeface="Helvetica"/>
                </a:rPr>
                <a:t>ADD TO COMPARE</a:t>
              </a:r>
            </a:p>
          </xdr:txBody>
        </xdr:sp>
        <xdr:clientData/>
      </xdr:twoCellAnchor>
    </mc:Choice>
    <mc:Fallback/>
  </mc:AlternateContent>
  <xdr:twoCellAnchor>
    <xdr:from>
      <xdr:col>5</xdr:col>
      <xdr:colOff>12574</xdr:colOff>
      <xdr:row>0</xdr:row>
      <xdr:rowOff>628712</xdr:rowOff>
    </xdr:from>
    <xdr:to>
      <xdr:col>5</xdr:col>
      <xdr:colOff>2741187</xdr:colOff>
      <xdr:row>0</xdr:row>
      <xdr:rowOff>1156831</xdr:rowOff>
    </xdr:to>
    <xdr:sp macro="" textlink="">
      <xdr:nvSpPr>
        <xdr:cNvPr id="2" name="TextBox 1"/>
        <xdr:cNvSpPr txBox="1"/>
      </xdr:nvSpPr>
      <xdr:spPr>
        <a:xfrm>
          <a:off x="6903267" y="628712"/>
          <a:ext cx="2728613" cy="52811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rgbClr val="FF0000"/>
              </a:solidFill>
            </a:rPr>
            <a:t>Warning:</a:t>
          </a:r>
          <a:r>
            <a:rPr lang="en-US" sz="1100" b="1" baseline="0">
              <a:solidFill>
                <a:srgbClr val="FF0000"/>
              </a:solidFill>
            </a:rPr>
            <a:t> </a:t>
          </a:r>
          <a:r>
            <a:rPr lang="en-US" sz="1100" baseline="0"/>
            <a:t>Visualization may take several minutes.</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2546350</xdr:colOff>
      <xdr:row>23</xdr:row>
      <xdr:rowOff>0</xdr:rowOff>
    </xdr:from>
    <xdr:to>
      <xdr:col>2</xdr:col>
      <xdr:colOff>0</xdr:colOff>
      <xdr:row>43</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0</xdr:colOff>
      <xdr:row>22</xdr:row>
      <xdr:rowOff>215898</xdr:rowOff>
    </xdr:from>
    <xdr:to>
      <xdr:col>10</xdr:col>
      <xdr:colOff>0</xdr:colOff>
      <xdr:row>52</xdr:row>
      <xdr:rowOff>0</xdr:rowOff>
    </xdr:to>
    <xdr:graphicFrame macro="">
      <xdr:nvGraphicFramePr>
        <xdr:cNvPr id="3" name="Chart 2"/>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0</xdr:col>
      <xdr:colOff>0</xdr:colOff>
      <xdr:row>53</xdr:row>
      <xdr:rowOff>0</xdr:rowOff>
    </xdr:from>
    <xdr:to>
      <xdr:col>10</xdr:col>
      <xdr:colOff>0</xdr:colOff>
      <xdr:row>82</xdr:row>
      <xdr:rowOff>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0</xdr:col>
      <xdr:colOff>0</xdr:colOff>
      <xdr:row>105</xdr:row>
      <xdr:rowOff>0</xdr:rowOff>
    </xdr:from>
    <xdr:to>
      <xdr:col>10</xdr:col>
      <xdr:colOff>0</xdr:colOff>
      <xdr:row>131</xdr:row>
      <xdr:rowOff>190500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ALUES"/>
  <dimension ref="A1:A300"/>
  <sheetViews>
    <sheetView topLeftCell="A3" workbookViewId="0">
      <selection activeCell="D301" sqref="D301"/>
    </sheetView>
  </sheetViews>
  <sheetFormatPr defaultColWidth="11" defaultRowHeight="15.75" x14ac:dyDescent="0.25"/>
  <sheetData>
    <row r="1" spans="1:1" x14ac:dyDescent="0.25">
      <c r="A1">
        <v>0</v>
      </c>
    </row>
    <row r="2" spans="1:1" x14ac:dyDescent="0.25">
      <c r="A2">
        <v>1</v>
      </c>
    </row>
    <row r="3" spans="1:1" x14ac:dyDescent="0.25">
      <c r="A3">
        <v>2</v>
      </c>
    </row>
    <row r="4" spans="1:1" x14ac:dyDescent="0.25">
      <c r="A4">
        <v>3</v>
      </c>
    </row>
    <row r="5" spans="1:1" x14ac:dyDescent="0.25">
      <c r="A5">
        <v>4</v>
      </c>
    </row>
    <row r="6" spans="1:1" x14ac:dyDescent="0.25">
      <c r="A6">
        <v>5</v>
      </c>
    </row>
    <row r="7" spans="1:1" x14ac:dyDescent="0.25">
      <c r="A7">
        <v>6</v>
      </c>
    </row>
    <row r="8" spans="1:1" x14ac:dyDescent="0.25">
      <c r="A8">
        <v>7</v>
      </c>
    </row>
    <row r="9" spans="1:1" x14ac:dyDescent="0.25">
      <c r="A9">
        <v>8</v>
      </c>
    </row>
    <row r="10" spans="1:1" x14ac:dyDescent="0.25">
      <c r="A10">
        <v>9</v>
      </c>
    </row>
    <row r="11" spans="1:1" x14ac:dyDescent="0.25">
      <c r="A11">
        <v>10</v>
      </c>
    </row>
    <row r="12" spans="1:1" x14ac:dyDescent="0.25">
      <c r="A12">
        <v>11</v>
      </c>
    </row>
    <row r="13" spans="1:1" x14ac:dyDescent="0.25">
      <c r="A13">
        <v>12</v>
      </c>
    </row>
    <row r="14" spans="1:1" x14ac:dyDescent="0.25">
      <c r="A14">
        <v>13</v>
      </c>
    </row>
    <row r="15" spans="1:1" x14ac:dyDescent="0.25">
      <c r="A15">
        <v>14</v>
      </c>
    </row>
    <row r="16" spans="1:1" x14ac:dyDescent="0.25">
      <c r="A16">
        <v>15</v>
      </c>
    </row>
    <row r="17" spans="1:1" x14ac:dyDescent="0.25">
      <c r="A17">
        <v>16</v>
      </c>
    </row>
    <row r="18" spans="1:1" x14ac:dyDescent="0.25">
      <c r="A18">
        <v>17</v>
      </c>
    </row>
    <row r="19" spans="1:1" x14ac:dyDescent="0.25">
      <c r="A19">
        <v>18</v>
      </c>
    </row>
    <row r="20" spans="1:1" x14ac:dyDescent="0.25">
      <c r="A20">
        <v>19</v>
      </c>
    </row>
    <row r="21" spans="1:1" x14ac:dyDescent="0.25">
      <c r="A21">
        <v>20</v>
      </c>
    </row>
    <row r="22" spans="1:1" x14ac:dyDescent="0.25">
      <c r="A22">
        <v>21</v>
      </c>
    </row>
    <row r="23" spans="1:1" x14ac:dyDescent="0.25">
      <c r="A23">
        <v>22</v>
      </c>
    </row>
    <row r="24" spans="1:1" x14ac:dyDescent="0.25">
      <c r="A24">
        <v>23</v>
      </c>
    </row>
    <row r="25" spans="1:1" x14ac:dyDescent="0.25">
      <c r="A25">
        <v>24</v>
      </c>
    </row>
    <row r="26" spans="1:1" x14ac:dyDescent="0.25">
      <c r="A26">
        <v>25</v>
      </c>
    </row>
    <row r="27" spans="1:1" x14ac:dyDescent="0.25">
      <c r="A27">
        <v>26</v>
      </c>
    </row>
    <row r="28" spans="1:1" x14ac:dyDescent="0.25">
      <c r="A28">
        <v>27</v>
      </c>
    </row>
    <row r="29" spans="1:1" x14ac:dyDescent="0.25">
      <c r="A29">
        <v>28</v>
      </c>
    </row>
    <row r="30" spans="1:1" x14ac:dyDescent="0.25">
      <c r="A30">
        <v>29</v>
      </c>
    </row>
    <row r="31" spans="1:1" x14ac:dyDescent="0.25">
      <c r="A31">
        <v>30</v>
      </c>
    </row>
    <row r="32" spans="1:1" x14ac:dyDescent="0.25">
      <c r="A32">
        <v>31</v>
      </c>
    </row>
    <row r="33" spans="1:1" x14ac:dyDescent="0.25">
      <c r="A33">
        <v>32</v>
      </c>
    </row>
    <row r="34" spans="1:1" x14ac:dyDescent="0.25">
      <c r="A34">
        <v>33</v>
      </c>
    </row>
    <row r="35" spans="1:1" x14ac:dyDescent="0.25">
      <c r="A35">
        <v>34</v>
      </c>
    </row>
    <row r="36" spans="1:1" x14ac:dyDescent="0.25">
      <c r="A36">
        <v>35</v>
      </c>
    </row>
    <row r="37" spans="1:1" x14ac:dyDescent="0.25">
      <c r="A37">
        <v>36</v>
      </c>
    </row>
    <row r="38" spans="1:1" x14ac:dyDescent="0.25">
      <c r="A38">
        <v>37</v>
      </c>
    </row>
    <row r="39" spans="1:1" x14ac:dyDescent="0.25">
      <c r="A39">
        <v>38</v>
      </c>
    </row>
    <row r="40" spans="1:1" x14ac:dyDescent="0.25">
      <c r="A40">
        <v>39</v>
      </c>
    </row>
    <row r="41" spans="1:1" x14ac:dyDescent="0.25">
      <c r="A41">
        <v>40</v>
      </c>
    </row>
    <row r="42" spans="1:1" x14ac:dyDescent="0.25">
      <c r="A42">
        <v>41</v>
      </c>
    </row>
    <row r="43" spans="1:1" x14ac:dyDescent="0.25">
      <c r="A43">
        <v>42</v>
      </c>
    </row>
    <row r="44" spans="1:1" x14ac:dyDescent="0.25">
      <c r="A44">
        <v>43</v>
      </c>
    </row>
    <row r="45" spans="1:1" x14ac:dyDescent="0.25">
      <c r="A45">
        <v>44</v>
      </c>
    </row>
    <row r="46" spans="1:1" x14ac:dyDescent="0.25">
      <c r="A46">
        <v>45</v>
      </c>
    </row>
    <row r="47" spans="1:1" x14ac:dyDescent="0.25">
      <c r="A47">
        <v>46</v>
      </c>
    </row>
    <row r="48" spans="1:1" x14ac:dyDescent="0.25">
      <c r="A48">
        <v>47</v>
      </c>
    </row>
    <row r="49" spans="1:1" x14ac:dyDescent="0.25">
      <c r="A49">
        <v>48</v>
      </c>
    </row>
    <row r="50" spans="1:1" x14ac:dyDescent="0.25">
      <c r="A50">
        <v>49</v>
      </c>
    </row>
    <row r="51" spans="1:1" x14ac:dyDescent="0.25">
      <c r="A51">
        <v>50</v>
      </c>
    </row>
    <row r="52" spans="1:1" x14ac:dyDescent="0.25">
      <c r="A52">
        <v>51</v>
      </c>
    </row>
    <row r="53" spans="1:1" x14ac:dyDescent="0.25">
      <c r="A53">
        <v>52</v>
      </c>
    </row>
    <row r="54" spans="1:1" x14ac:dyDescent="0.25">
      <c r="A54">
        <v>53</v>
      </c>
    </row>
    <row r="55" spans="1:1" x14ac:dyDescent="0.25">
      <c r="A55">
        <v>54</v>
      </c>
    </row>
    <row r="56" spans="1:1" x14ac:dyDescent="0.25">
      <c r="A56">
        <v>55</v>
      </c>
    </row>
    <row r="57" spans="1:1" x14ac:dyDescent="0.25">
      <c r="A57">
        <v>56</v>
      </c>
    </row>
    <row r="58" spans="1:1" x14ac:dyDescent="0.25">
      <c r="A58">
        <v>57</v>
      </c>
    </row>
    <row r="59" spans="1:1" x14ac:dyDescent="0.25">
      <c r="A59">
        <v>58</v>
      </c>
    </row>
    <row r="60" spans="1:1" x14ac:dyDescent="0.25">
      <c r="A60">
        <v>59</v>
      </c>
    </row>
    <row r="61" spans="1:1" x14ac:dyDescent="0.25">
      <c r="A61">
        <v>60</v>
      </c>
    </row>
    <row r="62" spans="1:1" x14ac:dyDescent="0.25">
      <c r="A62">
        <v>61</v>
      </c>
    </row>
    <row r="63" spans="1:1" x14ac:dyDescent="0.25">
      <c r="A63">
        <v>62</v>
      </c>
    </row>
    <row r="64" spans="1:1" x14ac:dyDescent="0.25">
      <c r="A64">
        <v>63</v>
      </c>
    </row>
    <row r="65" spans="1:1" x14ac:dyDescent="0.25">
      <c r="A65">
        <v>64</v>
      </c>
    </row>
    <row r="66" spans="1:1" x14ac:dyDescent="0.25">
      <c r="A66">
        <v>65</v>
      </c>
    </row>
    <row r="67" spans="1:1" x14ac:dyDescent="0.25">
      <c r="A67">
        <v>66</v>
      </c>
    </row>
    <row r="68" spans="1:1" x14ac:dyDescent="0.25">
      <c r="A68">
        <v>67</v>
      </c>
    </row>
    <row r="69" spans="1:1" x14ac:dyDescent="0.25">
      <c r="A69">
        <v>68</v>
      </c>
    </row>
    <row r="70" spans="1:1" x14ac:dyDescent="0.25">
      <c r="A70">
        <v>69</v>
      </c>
    </row>
    <row r="71" spans="1:1" x14ac:dyDescent="0.25">
      <c r="A71">
        <v>70</v>
      </c>
    </row>
    <row r="72" spans="1:1" x14ac:dyDescent="0.25">
      <c r="A72">
        <v>71</v>
      </c>
    </row>
    <row r="73" spans="1:1" x14ac:dyDescent="0.25">
      <c r="A73">
        <v>72</v>
      </c>
    </row>
    <row r="74" spans="1:1" x14ac:dyDescent="0.25">
      <c r="A74">
        <v>73</v>
      </c>
    </row>
    <row r="75" spans="1:1" x14ac:dyDescent="0.25">
      <c r="A75">
        <v>74</v>
      </c>
    </row>
    <row r="76" spans="1:1" x14ac:dyDescent="0.25">
      <c r="A76">
        <v>75</v>
      </c>
    </row>
    <row r="77" spans="1:1" x14ac:dyDescent="0.25">
      <c r="A77">
        <v>76</v>
      </c>
    </row>
    <row r="78" spans="1:1" x14ac:dyDescent="0.25">
      <c r="A78">
        <v>77</v>
      </c>
    </row>
    <row r="79" spans="1:1" x14ac:dyDescent="0.25">
      <c r="A79">
        <v>78</v>
      </c>
    </row>
    <row r="80" spans="1:1" x14ac:dyDescent="0.25">
      <c r="A80">
        <v>79</v>
      </c>
    </row>
    <row r="81" spans="1:1" x14ac:dyDescent="0.25">
      <c r="A81">
        <v>80</v>
      </c>
    </row>
    <row r="82" spans="1:1" x14ac:dyDescent="0.25">
      <c r="A82">
        <v>81</v>
      </c>
    </row>
    <row r="83" spans="1:1" x14ac:dyDescent="0.25">
      <c r="A83">
        <v>82</v>
      </c>
    </row>
    <row r="84" spans="1:1" x14ac:dyDescent="0.25">
      <c r="A84">
        <v>83</v>
      </c>
    </row>
    <row r="85" spans="1:1" x14ac:dyDescent="0.25">
      <c r="A85">
        <v>84</v>
      </c>
    </row>
    <row r="86" spans="1:1" x14ac:dyDescent="0.25">
      <c r="A86">
        <v>85</v>
      </c>
    </row>
    <row r="87" spans="1:1" x14ac:dyDescent="0.25">
      <c r="A87">
        <v>86</v>
      </c>
    </row>
    <row r="88" spans="1:1" x14ac:dyDescent="0.25">
      <c r="A88">
        <v>87</v>
      </c>
    </row>
    <row r="89" spans="1:1" x14ac:dyDescent="0.25">
      <c r="A89">
        <v>88</v>
      </c>
    </row>
    <row r="90" spans="1:1" x14ac:dyDescent="0.25">
      <c r="A90">
        <v>89</v>
      </c>
    </row>
    <row r="91" spans="1:1" x14ac:dyDescent="0.25">
      <c r="A91">
        <v>90</v>
      </c>
    </row>
    <row r="92" spans="1:1" x14ac:dyDescent="0.25">
      <c r="A92">
        <v>91</v>
      </c>
    </row>
    <row r="93" spans="1:1" x14ac:dyDescent="0.25">
      <c r="A93">
        <v>92</v>
      </c>
    </row>
    <row r="94" spans="1:1" x14ac:dyDescent="0.25">
      <c r="A94">
        <v>93</v>
      </c>
    </row>
    <row r="95" spans="1:1" x14ac:dyDescent="0.25">
      <c r="A95">
        <v>94</v>
      </c>
    </row>
    <row r="96" spans="1:1" x14ac:dyDescent="0.25">
      <c r="A96">
        <v>95</v>
      </c>
    </row>
    <row r="97" spans="1:1" x14ac:dyDescent="0.25">
      <c r="A97">
        <v>96</v>
      </c>
    </row>
    <row r="98" spans="1:1" x14ac:dyDescent="0.25">
      <c r="A98">
        <v>97</v>
      </c>
    </row>
    <row r="99" spans="1:1" x14ac:dyDescent="0.25">
      <c r="A99">
        <v>98</v>
      </c>
    </row>
    <row r="100" spans="1:1" x14ac:dyDescent="0.25">
      <c r="A100">
        <v>99</v>
      </c>
    </row>
    <row r="101" spans="1:1" x14ac:dyDescent="0.25">
      <c r="A101">
        <v>100</v>
      </c>
    </row>
    <row r="102" spans="1:1" x14ac:dyDescent="0.25">
      <c r="A102">
        <v>101</v>
      </c>
    </row>
    <row r="103" spans="1:1" x14ac:dyDescent="0.25">
      <c r="A103">
        <v>102</v>
      </c>
    </row>
    <row r="104" spans="1:1" x14ac:dyDescent="0.25">
      <c r="A104">
        <v>103</v>
      </c>
    </row>
    <row r="105" spans="1:1" x14ac:dyDescent="0.25">
      <c r="A105">
        <v>104</v>
      </c>
    </row>
    <row r="106" spans="1:1" x14ac:dyDescent="0.25">
      <c r="A106">
        <v>105</v>
      </c>
    </row>
    <row r="107" spans="1:1" x14ac:dyDescent="0.25">
      <c r="A107">
        <v>106</v>
      </c>
    </row>
    <row r="108" spans="1:1" x14ac:dyDescent="0.25">
      <c r="A108">
        <v>107</v>
      </c>
    </row>
    <row r="109" spans="1:1" x14ac:dyDescent="0.25">
      <c r="A109">
        <v>108</v>
      </c>
    </row>
    <row r="110" spans="1:1" x14ac:dyDescent="0.25">
      <c r="A110">
        <v>109</v>
      </c>
    </row>
    <row r="111" spans="1:1" x14ac:dyDescent="0.25">
      <c r="A111">
        <v>110</v>
      </c>
    </row>
    <row r="112" spans="1:1" x14ac:dyDescent="0.25">
      <c r="A112">
        <v>111</v>
      </c>
    </row>
    <row r="113" spans="1:1" x14ac:dyDescent="0.25">
      <c r="A113">
        <v>112</v>
      </c>
    </row>
    <row r="114" spans="1:1" x14ac:dyDescent="0.25">
      <c r="A114">
        <v>113</v>
      </c>
    </row>
    <row r="115" spans="1:1" x14ac:dyDescent="0.25">
      <c r="A115">
        <v>114</v>
      </c>
    </row>
    <row r="116" spans="1:1" x14ac:dyDescent="0.25">
      <c r="A116">
        <v>115</v>
      </c>
    </row>
    <row r="117" spans="1:1" x14ac:dyDescent="0.25">
      <c r="A117">
        <v>116</v>
      </c>
    </row>
    <row r="118" spans="1:1" x14ac:dyDescent="0.25">
      <c r="A118">
        <v>117</v>
      </c>
    </row>
    <row r="119" spans="1:1" x14ac:dyDescent="0.25">
      <c r="A119">
        <v>118</v>
      </c>
    </row>
    <row r="120" spans="1:1" x14ac:dyDescent="0.25">
      <c r="A120">
        <v>119</v>
      </c>
    </row>
    <row r="121" spans="1:1" x14ac:dyDescent="0.25">
      <c r="A121">
        <v>120</v>
      </c>
    </row>
    <row r="122" spans="1:1" x14ac:dyDescent="0.25">
      <c r="A122">
        <v>121</v>
      </c>
    </row>
    <row r="123" spans="1:1" x14ac:dyDescent="0.25">
      <c r="A123">
        <v>122</v>
      </c>
    </row>
    <row r="124" spans="1:1" x14ac:dyDescent="0.25">
      <c r="A124">
        <v>123</v>
      </c>
    </row>
    <row r="125" spans="1:1" x14ac:dyDescent="0.25">
      <c r="A125">
        <v>124</v>
      </c>
    </row>
    <row r="126" spans="1:1" x14ac:dyDescent="0.25">
      <c r="A126">
        <v>125</v>
      </c>
    </row>
    <row r="127" spans="1:1" x14ac:dyDescent="0.25">
      <c r="A127">
        <v>126</v>
      </c>
    </row>
    <row r="128" spans="1:1" x14ac:dyDescent="0.25">
      <c r="A128">
        <v>127</v>
      </c>
    </row>
    <row r="129" spans="1:1" x14ac:dyDescent="0.25">
      <c r="A129">
        <v>128</v>
      </c>
    </row>
    <row r="130" spans="1:1" x14ac:dyDescent="0.25">
      <c r="A130">
        <v>129</v>
      </c>
    </row>
    <row r="131" spans="1:1" x14ac:dyDescent="0.25">
      <c r="A131">
        <v>130</v>
      </c>
    </row>
    <row r="132" spans="1:1" x14ac:dyDescent="0.25">
      <c r="A132">
        <v>131</v>
      </c>
    </row>
    <row r="133" spans="1:1" x14ac:dyDescent="0.25">
      <c r="A133">
        <v>132</v>
      </c>
    </row>
    <row r="134" spans="1:1" x14ac:dyDescent="0.25">
      <c r="A134">
        <v>133</v>
      </c>
    </row>
    <row r="135" spans="1:1" x14ac:dyDescent="0.25">
      <c r="A135">
        <v>134</v>
      </c>
    </row>
    <row r="136" spans="1:1" x14ac:dyDescent="0.25">
      <c r="A136">
        <v>135</v>
      </c>
    </row>
    <row r="137" spans="1:1" x14ac:dyDescent="0.25">
      <c r="A137">
        <v>136</v>
      </c>
    </row>
    <row r="138" spans="1:1" x14ac:dyDescent="0.25">
      <c r="A138">
        <v>137</v>
      </c>
    </row>
    <row r="139" spans="1:1" x14ac:dyDescent="0.25">
      <c r="A139">
        <v>138</v>
      </c>
    </row>
    <row r="140" spans="1:1" x14ac:dyDescent="0.25">
      <c r="A140">
        <v>139</v>
      </c>
    </row>
    <row r="141" spans="1:1" x14ac:dyDescent="0.25">
      <c r="A141">
        <v>140</v>
      </c>
    </row>
    <row r="142" spans="1:1" x14ac:dyDescent="0.25">
      <c r="A142">
        <v>141</v>
      </c>
    </row>
    <row r="143" spans="1:1" x14ac:dyDescent="0.25">
      <c r="A143">
        <v>142</v>
      </c>
    </row>
    <row r="144" spans="1:1" x14ac:dyDescent="0.25">
      <c r="A144">
        <v>143</v>
      </c>
    </row>
    <row r="145" spans="1:1" x14ac:dyDescent="0.25">
      <c r="A145">
        <v>144</v>
      </c>
    </row>
    <row r="146" spans="1:1" x14ac:dyDescent="0.25">
      <c r="A146">
        <v>145</v>
      </c>
    </row>
    <row r="147" spans="1:1" x14ac:dyDescent="0.25">
      <c r="A147">
        <v>146</v>
      </c>
    </row>
    <row r="148" spans="1:1" x14ac:dyDescent="0.25">
      <c r="A148">
        <v>147</v>
      </c>
    </row>
    <row r="149" spans="1:1" x14ac:dyDescent="0.25">
      <c r="A149">
        <v>148</v>
      </c>
    </row>
    <row r="150" spans="1:1" x14ac:dyDescent="0.25">
      <c r="A150">
        <v>149</v>
      </c>
    </row>
    <row r="151" spans="1:1" x14ac:dyDescent="0.25">
      <c r="A151">
        <v>150</v>
      </c>
    </row>
    <row r="152" spans="1:1" x14ac:dyDescent="0.25">
      <c r="A152">
        <v>151</v>
      </c>
    </row>
    <row r="153" spans="1:1" x14ac:dyDescent="0.25">
      <c r="A153">
        <v>152</v>
      </c>
    </row>
    <row r="154" spans="1:1" x14ac:dyDescent="0.25">
      <c r="A154">
        <v>153</v>
      </c>
    </row>
    <row r="155" spans="1:1" x14ac:dyDescent="0.25">
      <c r="A155">
        <v>154</v>
      </c>
    </row>
    <row r="156" spans="1:1" x14ac:dyDescent="0.25">
      <c r="A156">
        <v>155</v>
      </c>
    </row>
    <row r="157" spans="1:1" x14ac:dyDescent="0.25">
      <c r="A157">
        <v>156</v>
      </c>
    </row>
    <row r="158" spans="1:1" x14ac:dyDescent="0.25">
      <c r="A158">
        <v>157</v>
      </c>
    </row>
    <row r="159" spans="1:1" x14ac:dyDescent="0.25">
      <c r="A159">
        <v>158</v>
      </c>
    </row>
    <row r="160" spans="1:1" x14ac:dyDescent="0.25">
      <c r="A160">
        <v>159</v>
      </c>
    </row>
    <row r="161" spans="1:1" x14ac:dyDescent="0.25">
      <c r="A161">
        <v>160</v>
      </c>
    </row>
    <row r="162" spans="1:1" x14ac:dyDescent="0.25">
      <c r="A162">
        <v>161</v>
      </c>
    </row>
    <row r="163" spans="1:1" x14ac:dyDescent="0.25">
      <c r="A163">
        <v>162</v>
      </c>
    </row>
    <row r="164" spans="1:1" x14ac:dyDescent="0.25">
      <c r="A164">
        <v>163</v>
      </c>
    </row>
    <row r="165" spans="1:1" x14ac:dyDescent="0.25">
      <c r="A165">
        <v>164</v>
      </c>
    </row>
    <row r="166" spans="1:1" x14ac:dyDescent="0.25">
      <c r="A166">
        <v>165</v>
      </c>
    </row>
    <row r="167" spans="1:1" x14ac:dyDescent="0.25">
      <c r="A167">
        <v>166</v>
      </c>
    </row>
    <row r="168" spans="1:1" x14ac:dyDescent="0.25">
      <c r="A168">
        <v>167</v>
      </c>
    </row>
    <row r="169" spans="1:1" x14ac:dyDescent="0.25">
      <c r="A169">
        <v>168</v>
      </c>
    </row>
    <row r="170" spans="1:1" x14ac:dyDescent="0.25">
      <c r="A170">
        <v>169</v>
      </c>
    </row>
    <row r="171" spans="1:1" x14ac:dyDescent="0.25">
      <c r="A171">
        <v>170</v>
      </c>
    </row>
    <row r="172" spans="1:1" x14ac:dyDescent="0.25">
      <c r="A172">
        <v>171</v>
      </c>
    </row>
    <row r="173" spans="1:1" x14ac:dyDescent="0.25">
      <c r="A173">
        <v>172</v>
      </c>
    </row>
    <row r="174" spans="1:1" x14ac:dyDescent="0.25">
      <c r="A174">
        <v>173</v>
      </c>
    </row>
    <row r="175" spans="1:1" x14ac:dyDescent="0.25">
      <c r="A175">
        <v>174</v>
      </c>
    </row>
    <row r="176" spans="1:1" x14ac:dyDescent="0.25">
      <c r="A176">
        <v>175</v>
      </c>
    </row>
    <row r="177" spans="1:1" x14ac:dyDescent="0.25">
      <c r="A177">
        <v>176</v>
      </c>
    </row>
    <row r="178" spans="1:1" x14ac:dyDescent="0.25">
      <c r="A178">
        <v>177</v>
      </c>
    </row>
    <row r="179" spans="1:1" x14ac:dyDescent="0.25">
      <c r="A179">
        <v>178</v>
      </c>
    </row>
    <row r="180" spans="1:1" x14ac:dyDescent="0.25">
      <c r="A180">
        <v>179</v>
      </c>
    </row>
    <row r="181" spans="1:1" x14ac:dyDescent="0.25">
      <c r="A181">
        <v>180</v>
      </c>
    </row>
    <row r="182" spans="1:1" x14ac:dyDescent="0.25">
      <c r="A182">
        <v>181</v>
      </c>
    </row>
    <row r="183" spans="1:1" x14ac:dyDescent="0.25">
      <c r="A183">
        <v>182</v>
      </c>
    </row>
    <row r="184" spans="1:1" x14ac:dyDescent="0.25">
      <c r="A184">
        <v>183</v>
      </c>
    </row>
    <row r="185" spans="1:1" x14ac:dyDescent="0.25">
      <c r="A185">
        <v>184</v>
      </c>
    </row>
    <row r="186" spans="1:1" x14ac:dyDescent="0.25">
      <c r="A186">
        <v>185</v>
      </c>
    </row>
    <row r="187" spans="1:1" x14ac:dyDescent="0.25">
      <c r="A187">
        <v>186</v>
      </c>
    </row>
    <row r="188" spans="1:1" x14ac:dyDescent="0.25">
      <c r="A188">
        <v>187</v>
      </c>
    </row>
    <row r="189" spans="1:1" x14ac:dyDescent="0.25">
      <c r="A189">
        <v>188</v>
      </c>
    </row>
    <row r="190" spans="1:1" x14ac:dyDescent="0.25">
      <c r="A190">
        <v>189</v>
      </c>
    </row>
    <row r="191" spans="1:1" x14ac:dyDescent="0.25">
      <c r="A191">
        <v>190</v>
      </c>
    </row>
    <row r="192" spans="1:1" x14ac:dyDescent="0.25">
      <c r="A192">
        <v>191</v>
      </c>
    </row>
    <row r="193" spans="1:1" x14ac:dyDescent="0.25">
      <c r="A193">
        <v>192</v>
      </c>
    </row>
    <row r="194" spans="1:1" x14ac:dyDescent="0.25">
      <c r="A194">
        <v>193</v>
      </c>
    </row>
    <row r="195" spans="1:1" x14ac:dyDescent="0.25">
      <c r="A195">
        <v>194</v>
      </c>
    </row>
    <row r="196" spans="1:1" x14ac:dyDescent="0.25">
      <c r="A196">
        <v>195</v>
      </c>
    </row>
    <row r="197" spans="1:1" x14ac:dyDescent="0.25">
      <c r="A197">
        <v>196</v>
      </c>
    </row>
    <row r="198" spans="1:1" x14ac:dyDescent="0.25">
      <c r="A198">
        <v>197</v>
      </c>
    </row>
    <row r="199" spans="1:1" x14ac:dyDescent="0.25">
      <c r="A199">
        <v>198</v>
      </c>
    </row>
    <row r="200" spans="1:1" x14ac:dyDescent="0.25">
      <c r="A200">
        <v>199</v>
      </c>
    </row>
    <row r="201" spans="1:1" x14ac:dyDescent="0.25">
      <c r="A201">
        <v>200</v>
      </c>
    </row>
    <row r="202" spans="1:1" x14ac:dyDescent="0.25">
      <c r="A202">
        <v>201</v>
      </c>
    </row>
    <row r="203" spans="1:1" x14ac:dyDescent="0.25">
      <c r="A203">
        <v>202</v>
      </c>
    </row>
    <row r="204" spans="1:1" x14ac:dyDescent="0.25">
      <c r="A204">
        <v>203</v>
      </c>
    </row>
    <row r="205" spans="1:1" x14ac:dyDescent="0.25">
      <c r="A205">
        <v>204</v>
      </c>
    </row>
    <row r="206" spans="1:1" x14ac:dyDescent="0.25">
      <c r="A206">
        <v>205</v>
      </c>
    </row>
    <row r="207" spans="1:1" x14ac:dyDescent="0.25">
      <c r="A207">
        <v>206</v>
      </c>
    </row>
    <row r="208" spans="1:1" x14ac:dyDescent="0.25">
      <c r="A208">
        <v>207</v>
      </c>
    </row>
    <row r="209" spans="1:1" x14ac:dyDescent="0.25">
      <c r="A209">
        <v>208</v>
      </c>
    </row>
    <row r="210" spans="1:1" x14ac:dyDescent="0.25">
      <c r="A210">
        <v>209</v>
      </c>
    </row>
    <row r="211" spans="1:1" x14ac:dyDescent="0.25">
      <c r="A211">
        <v>210</v>
      </c>
    </row>
    <row r="212" spans="1:1" x14ac:dyDescent="0.25">
      <c r="A212">
        <v>211</v>
      </c>
    </row>
    <row r="213" spans="1:1" x14ac:dyDescent="0.25">
      <c r="A213">
        <v>212</v>
      </c>
    </row>
    <row r="214" spans="1:1" x14ac:dyDescent="0.25">
      <c r="A214">
        <v>213</v>
      </c>
    </row>
    <row r="215" spans="1:1" x14ac:dyDescent="0.25">
      <c r="A215">
        <v>214</v>
      </c>
    </row>
    <row r="216" spans="1:1" x14ac:dyDescent="0.25">
      <c r="A216">
        <v>215</v>
      </c>
    </row>
    <row r="217" spans="1:1" x14ac:dyDescent="0.25">
      <c r="A217">
        <v>216</v>
      </c>
    </row>
    <row r="218" spans="1:1" x14ac:dyDescent="0.25">
      <c r="A218">
        <v>217</v>
      </c>
    </row>
    <row r="219" spans="1:1" x14ac:dyDescent="0.25">
      <c r="A219">
        <v>218</v>
      </c>
    </row>
    <row r="220" spans="1:1" x14ac:dyDescent="0.25">
      <c r="A220">
        <v>219</v>
      </c>
    </row>
    <row r="221" spans="1:1" x14ac:dyDescent="0.25">
      <c r="A221">
        <v>220</v>
      </c>
    </row>
    <row r="222" spans="1:1" x14ac:dyDescent="0.25">
      <c r="A222">
        <v>221</v>
      </c>
    </row>
    <row r="223" spans="1:1" x14ac:dyDescent="0.25">
      <c r="A223">
        <v>222</v>
      </c>
    </row>
    <row r="224" spans="1:1" x14ac:dyDescent="0.25">
      <c r="A224">
        <v>223</v>
      </c>
    </row>
    <row r="225" spans="1:1" x14ac:dyDescent="0.25">
      <c r="A225">
        <v>224</v>
      </c>
    </row>
    <row r="226" spans="1:1" x14ac:dyDescent="0.25">
      <c r="A226">
        <v>225</v>
      </c>
    </row>
    <row r="227" spans="1:1" x14ac:dyDescent="0.25">
      <c r="A227">
        <v>226</v>
      </c>
    </row>
    <row r="228" spans="1:1" x14ac:dyDescent="0.25">
      <c r="A228">
        <v>227</v>
      </c>
    </row>
    <row r="229" spans="1:1" x14ac:dyDescent="0.25">
      <c r="A229">
        <v>228</v>
      </c>
    </row>
    <row r="230" spans="1:1" x14ac:dyDescent="0.25">
      <c r="A230">
        <v>229</v>
      </c>
    </row>
    <row r="231" spans="1:1" x14ac:dyDescent="0.25">
      <c r="A231">
        <v>230</v>
      </c>
    </row>
    <row r="232" spans="1:1" x14ac:dyDescent="0.25">
      <c r="A232">
        <v>231</v>
      </c>
    </row>
    <row r="233" spans="1:1" x14ac:dyDescent="0.25">
      <c r="A233">
        <v>232</v>
      </c>
    </row>
    <row r="234" spans="1:1" x14ac:dyDescent="0.25">
      <c r="A234">
        <v>233</v>
      </c>
    </row>
    <row r="235" spans="1:1" x14ac:dyDescent="0.25">
      <c r="A235">
        <v>234</v>
      </c>
    </row>
    <row r="236" spans="1:1" x14ac:dyDescent="0.25">
      <c r="A236">
        <v>235</v>
      </c>
    </row>
    <row r="237" spans="1:1" x14ac:dyDescent="0.25">
      <c r="A237">
        <v>236</v>
      </c>
    </row>
    <row r="238" spans="1:1" x14ac:dyDescent="0.25">
      <c r="A238">
        <v>237</v>
      </c>
    </row>
    <row r="239" spans="1:1" x14ac:dyDescent="0.25">
      <c r="A239">
        <v>238</v>
      </c>
    </row>
    <row r="240" spans="1:1" x14ac:dyDescent="0.25">
      <c r="A240">
        <v>239</v>
      </c>
    </row>
    <row r="241" spans="1:1" x14ac:dyDescent="0.25">
      <c r="A241">
        <v>240</v>
      </c>
    </row>
    <row r="242" spans="1:1" x14ac:dyDescent="0.25">
      <c r="A242">
        <v>241</v>
      </c>
    </row>
    <row r="243" spans="1:1" x14ac:dyDescent="0.25">
      <c r="A243">
        <v>242</v>
      </c>
    </row>
    <row r="244" spans="1:1" x14ac:dyDescent="0.25">
      <c r="A244">
        <v>243</v>
      </c>
    </row>
    <row r="245" spans="1:1" x14ac:dyDescent="0.25">
      <c r="A245">
        <v>244</v>
      </c>
    </row>
    <row r="246" spans="1:1" x14ac:dyDescent="0.25">
      <c r="A246">
        <v>245</v>
      </c>
    </row>
    <row r="247" spans="1:1" x14ac:dyDescent="0.25">
      <c r="A247">
        <v>246</v>
      </c>
    </row>
    <row r="248" spans="1:1" x14ac:dyDescent="0.25">
      <c r="A248">
        <v>247</v>
      </c>
    </row>
    <row r="249" spans="1:1" x14ac:dyDescent="0.25">
      <c r="A249">
        <v>248</v>
      </c>
    </row>
    <row r="250" spans="1:1" x14ac:dyDescent="0.25">
      <c r="A250">
        <v>249</v>
      </c>
    </row>
    <row r="251" spans="1:1" x14ac:dyDescent="0.25">
      <c r="A251">
        <v>250</v>
      </c>
    </row>
    <row r="252" spans="1:1" x14ac:dyDescent="0.25">
      <c r="A252">
        <v>251</v>
      </c>
    </row>
    <row r="253" spans="1:1" x14ac:dyDescent="0.25">
      <c r="A253">
        <v>252</v>
      </c>
    </row>
    <row r="254" spans="1:1" x14ac:dyDescent="0.25">
      <c r="A254">
        <v>253</v>
      </c>
    </row>
    <row r="255" spans="1:1" x14ac:dyDescent="0.25">
      <c r="A255">
        <v>254</v>
      </c>
    </row>
    <row r="256" spans="1:1" x14ac:dyDescent="0.25">
      <c r="A256">
        <v>255</v>
      </c>
    </row>
    <row r="257" spans="1:1" x14ac:dyDescent="0.25">
      <c r="A257">
        <v>256</v>
      </c>
    </row>
    <row r="258" spans="1:1" x14ac:dyDescent="0.25">
      <c r="A258">
        <v>257</v>
      </c>
    </row>
    <row r="259" spans="1:1" x14ac:dyDescent="0.25">
      <c r="A259">
        <v>258</v>
      </c>
    </row>
    <row r="260" spans="1:1" x14ac:dyDescent="0.25">
      <c r="A260">
        <v>259</v>
      </c>
    </row>
    <row r="261" spans="1:1" x14ac:dyDescent="0.25">
      <c r="A261">
        <v>260</v>
      </c>
    </row>
    <row r="262" spans="1:1" x14ac:dyDescent="0.25">
      <c r="A262">
        <v>261</v>
      </c>
    </row>
    <row r="263" spans="1:1" x14ac:dyDescent="0.25">
      <c r="A263">
        <v>262</v>
      </c>
    </row>
    <row r="264" spans="1:1" x14ac:dyDescent="0.25">
      <c r="A264">
        <v>263</v>
      </c>
    </row>
    <row r="265" spans="1:1" x14ac:dyDescent="0.25">
      <c r="A265">
        <v>264</v>
      </c>
    </row>
    <row r="266" spans="1:1" x14ac:dyDescent="0.25">
      <c r="A266">
        <v>265</v>
      </c>
    </row>
    <row r="267" spans="1:1" x14ac:dyDescent="0.25">
      <c r="A267">
        <v>266</v>
      </c>
    </row>
    <row r="268" spans="1:1" x14ac:dyDescent="0.25">
      <c r="A268">
        <v>267</v>
      </c>
    </row>
    <row r="269" spans="1:1" x14ac:dyDescent="0.25">
      <c r="A269">
        <v>268</v>
      </c>
    </row>
    <row r="270" spans="1:1" x14ac:dyDescent="0.25">
      <c r="A270">
        <v>269</v>
      </c>
    </row>
    <row r="271" spans="1:1" x14ac:dyDescent="0.25">
      <c r="A271">
        <v>270</v>
      </c>
    </row>
    <row r="272" spans="1:1" x14ac:dyDescent="0.25">
      <c r="A272">
        <v>271</v>
      </c>
    </row>
    <row r="273" spans="1:1" x14ac:dyDescent="0.25">
      <c r="A273">
        <v>272</v>
      </c>
    </row>
    <row r="274" spans="1:1" x14ac:dyDescent="0.25">
      <c r="A274">
        <v>273</v>
      </c>
    </row>
    <row r="275" spans="1:1" x14ac:dyDescent="0.25">
      <c r="A275">
        <v>274</v>
      </c>
    </row>
    <row r="276" spans="1:1" x14ac:dyDescent="0.25">
      <c r="A276">
        <v>275</v>
      </c>
    </row>
    <row r="277" spans="1:1" x14ac:dyDescent="0.25">
      <c r="A277">
        <v>276</v>
      </c>
    </row>
    <row r="278" spans="1:1" x14ac:dyDescent="0.25">
      <c r="A278">
        <v>277</v>
      </c>
    </row>
    <row r="279" spans="1:1" x14ac:dyDescent="0.25">
      <c r="A279">
        <v>278</v>
      </c>
    </row>
    <row r="280" spans="1:1" x14ac:dyDescent="0.25">
      <c r="A280">
        <v>279</v>
      </c>
    </row>
    <row r="281" spans="1:1" x14ac:dyDescent="0.25">
      <c r="A281">
        <v>280</v>
      </c>
    </row>
    <row r="282" spans="1:1" x14ac:dyDescent="0.25">
      <c r="A282">
        <v>281</v>
      </c>
    </row>
    <row r="283" spans="1:1" x14ac:dyDescent="0.25">
      <c r="A283">
        <v>282</v>
      </c>
    </row>
    <row r="284" spans="1:1" x14ac:dyDescent="0.25">
      <c r="A284">
        <v>283</v>
      </c>
    </row>
    <row r="285" spans="1:1" x14ac:dyDescent="0.25">
      <c r="A285">
        <v>284</v>
      </c>
    </row>
    <row r="286" spans="1:1" x14ac:dyDescent="0.25">
      <c r="A286">
        <v>285</v>
      </c>
    </row>
    <row r="287" spans="1:1" x14ac:dyDescent="0.25">
      <c r="A287">
        <v>286</v>
      </c>
    </row>
    <row r="288" spans="1:1" x14ac:dyDescent="0.25">
      <c r="A288">
        <v>287</v>
      </c>
    </row>
    <row r="289" spans="1:1" x14ac:dyDescent="0.25">
      <c r="A289">
        <v>288</v>
      </c>
    </row>
    <row r="290" spans="1:1" x14ac:dyDescent="0.25">
      <c r="A290">
        <v>289</v>
      </c>
    </row>
    <row r="291" spans="1:1" x14ac:dyDescent="0.25">
      <c r="A291">
        <v>290</v>
      </c>
    </row>
    <row r="292" spans="1:1" x14ac:dyDescent="0.25">
      <c r="A292">
        <v>291</v>
      </c>
    </row>
    <row r="293" spans="1:1" x14ac:dyDescent="0.25">
      <c r="A293">
        <v>292</v>
      </c>
    </row>
    <row r="294" spans="1:1" x14ac:dyDescent="0.25">
      <c r="A294">
        <v>293</v>
      </c>
    </row>
    <row r="295" spans="1:1" x14ac:dyDescent="0.25">
      <c r="A295">
        <v>294</v>
      </c>
    </row>
    <row r="296" spans="1:1" x14ac:dyDescent="0.25">
      <c r="A296">
        <v>295</v>
      </c>
    </row>
    <row r="297" spans="1:1" x14ac:dyDescent="0.25">
      <c r="A297">
        <v>296</v>
      </c>
    </row>
    <row r="298" spans="1:1" x14ac:dyDescent="0.25">
      <c r="A298">
        <v>297</v>
      </c>
    </row>
    <row r="299" spans="1:1" x14ac:dyDescent="0.25">
      <c r="A299">
        <v>298</v>
      </c>
    </row>
    <row r="300" spans="1:1" x14ac:dyDescent="0.25">
      <c r="A300">
        <v>299</v>
      </c>
    </row>
  </sheetData>
  <pageMargins left="0.7" right="0.7" top="0.75" bottom="0.75" header="0.3" footer="0.3"/>
  <pageSetup paperSize="9" orientation="portrait" horizontalDpi="0" verticalDpi="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ONFIGURATION">
    <tabColor theme="8"/>
  </sheetPr>
  <dimension ref="A1:XFC70"/>
  <sheetViews>
    <sheetView tabSelected="1" workbookViewId="0">
      <selection activeCell="D16" sqref="D16"/>
    </sheetView>
  </sheetViews>
  <sheetFormatPr defaultColWidth="0" defaultRowHeight="15.75" zeroHeight="1" x14ac:dyDescent="0.25"/>
  <cols>
    <col min="1" max="1" width="5.875" style="11" customWidth="1"/>
    <col min="2" max="2" width="3.625" style="11" bestFit="1" customWidth="1"/>
    <col min="3" max="3" width="43.375" customWidth="1"/>
    <col min="4" max="4" width="15" customWidth="1"/>
    <col min="5" max="5" width="22.625" customWidth="1"/>
    <col min="6" max="6" width="110.375" customWidth="1"/>
    <col min="7" max="70" width="14.5" hidden="1"/>
    <col min="71" max="16383" width="10.875" hidden="1"/>
    <col min="16384" max="16384" width="34.625" hidden="1" customWidth="1"/>
  </cols>
  <sheetData>
    <row r="1" spans="1:6" ht="95.1" customHeight="1" x14ac:dyDescent="0.35">
      <c r="C1" s="82" t="s">
        <v>61</v>
      </c>
      <c r="D1" s="82"/>
      <c r="E1" s="82"/>
      <c r="F1" s="82"/>
    </row>
    <row r="2" spans="1:6" s="1" customFormat="1" x14ac:dyDescent="0.25">
      <c r="A2" s="13"/>
      <c r="B2" s="13"/>
      <c r="C2" s="12" t="s">
        <v>14</v>
      </c>
      <c r="D2" s="24" t="s">
        <v>6</v>
      </c>
      <c r="E2" s="12" t="s">
        <v>7</v>
      </c>
      <c r="F2" s="12" t="s">
        <v>8</v>
      </c>
    </row>
    <row r="3" spans="1:6" s="1" customFormat="1" ht="27.95" customHeight="1" thickBot="1" x14ac:dyDescent="0.3">
      <c r="A3" s="94" t="s">
        <v>71</v>
      </c>
      <c r="B3" s="80"/>
      <c r="C3" s="18" t="s">
        <v>5</v>
      </c>
      <c r="D3" s="31">
        <v>32</v>
      </c>
      <c r="E3" s="28" t="s">
        <v>13</v>
      </c>
      <c r="F3" s="56" t="s">
        <v>60</v>
      </c>
    </row>
    <row r="4" spans="1:6" s="1" customFormat="1" ht="27.95" customHeight="1" thickTop="1" thickBot="1" x14ac:dyDescent="0.3">
      <c r="A4" s="94"/>
      <c r="B4" s="80"/>
      <c r="C4" s="25" t="s">
        <v>15</v>
      </c>
      <c r="D4" s="32">
        <v>3</v>
      </c>
      <c r="E4" s="29" t="s">
        <v>16</v>
      </c>
      <c r="F4" s="57" t="s">
        <v>76</v>
      </c>
    </row>
    <row r="5" spans="1:6" ht="27.95" customHeight="1" thickTop="1" thickBot="1" x14ac:dyDescent="0.3">
      <c r="A5" s="94"/>
      <c r="B5" s="80"/>
      <c r="C5" s="18" t="s">
        <v>34</v>
      </c>
      <c r="D5" s="33">
        <v>1024</v>
      </c>
      <c r="E5" s="28" t="s">
        <v>35</v>
      </c>
      <c r="F5" s="58" t="s">
        <v>75</v>
      </c>
    </row>
    <row r="6" spans="1:6" ht="27.95" customHeight="1" thickTop="1" thickBot="1" x14ac:dyDescent="0.3">
      <c r="A6" s="94"/>
      <c r="B6" s="80"/>
      <c r="C6" s="25" t="s">
        <v>43</v>
      </c>
      <c r="D6" s="32">
        <v>60</v>
      </c>
      <c r="E6" s="73" t="s">
        <v>44</v>
      </c>
      <c r="F6" s="59" t="s">
        <v>77</v>
      </c>
    </row>
    <row r="7" spans="1:6" s="70" customFormat="1" ht="27.95" hidden="1" customHeight="1" thickTop="1" thickBot="1" x14ac:dyDescent="0.3">
      <c r="A7" s="94"/>
      <c r="B7" s="80"/>
      <c r="C7" s="25"/>
      <c r="D7" s="72">
        <v>60</v>
      </c>
      <c r="F7" s="59"/>
    </row>
    <row r="8" spans="1:6" s="70" customFormat="1" ht="27.95" hidden="1" customHeight="1" thickTop="1" thickBot="1" x14ac:dyDescent="0.3">
      <c r="A8" s="94"/>
      <c r="B8" s="80"/>
      <c r="C8" s="25"/>
      <c r="D8" s="72">
        <v>60</v>
      </c>
      <c r="F8" s="59"/>
    </row>
    <row r="9" spans="1:6" ht="27.95" customHeight="1" thickTop="1" thickBot="1" x14ac:dyDescent="0.3">
      <c r="A9" s="94"/>
      <c r="B9" s="80"/>
      <c r="C9" s="18" t="s">
        <v>49</v>
      </c>
      <c r="D9" s="34">
        <v>60</v>
      </c>
      <c r="E9" s="74" t="s">
        <v>44</v>
      </c>
      <c r="F9" s="58" t="s">
        <v>78</v>
      </c>
    </row>
    <row r="10" spans="1:6" ht="12.95" customHeight="1" thickTop="1" x14ac:dyDescent="0.25">
      <c r="A10" s="79"/>
      <c r="B10" s="79"/>
      <c r="C10" s="79"/>
      <c r="D10" s="79"/>
      <c r="E10" s="79"/>
      <c r="F10" s="79"/>
    </row>
    <row r="11" spans="1:6" ht="27.95" customHeight="1" thickBot="1" x14ac:dyDescent="0.3">
      <c r="A11" s="83" t="s">
        <v>72</v>
      </c>
      <c r="B11" s="80"/>
      <c r="C11" s="26" t="s">
        <v>0</v>
      </c>
      <c r="D11" s="35">
        <v>6</v>
      </c>
      <c r="E11" s="28" t="s">
        <v>9</v>
      </c>
      <c r="F11" s="60" t="s">
        <v>79</v>
      </c>
    </row>
    <row r="12" spans="1:6" ht="27.95" customHeight="1" thickTop="1" thickBot="1" x14ac:dyDescent="0.3">
      <c r="A12" s="83"/>
      <c r="B12" s="80"/>
      <c r="C12" s="27" t="s">
        <v>1</v>
      </c>
      <c r="D12" s="35">
        <v>50</v>
      </c>
      <c r="E12" s="29" t="s">
        <v>10</v>
      </c>
      <c r="F12" s="61" t="s">
        <v>80</v>
      </c>
    </row>
    <row r="13" spans="1:6" s="1" customFormat="1" ht="32.1" customHeight="1" thickTop="1" thickBot="1" x14ac:dyDescent="0.3">
      <c r="A13" s="83"/>
      <c r="B13" s="80"/>
      <c r="C13" s="85" t="s">
        <v>2</v>
      </c>
      <c r="D13" s="36">
        <v>20</v>
      </c>
      <c r="E13" s="37" t="s">
        <v>100</v>
      </c>
      <c r="F13" s="91" t="s">
        <v>126</v>
      </c>
    </row>
    <row r="14" spans="1:6" s="1" customFormat="1" ht="32.1" customHeight="1" thickTop="1" thickBot="1" x14ac:dyDescent="0.3">
      <c r="A14" s="83"/>
      <c r="B14" s="80"/>
      <c r="C14" s="86"/>
      <c r="D14" s="23">
        <f>IF(DTKA_FEC_M_TYPE="parity blocks",DTKA_FEC_K+DTKA_FEC_M_PARITY,ROUNDUP(DTKA_FEC_K*(1+DTKA_FEC_M_PARITY/100),0))</f>
        <v>60</v>
      </c>
      <c r="E14" s="29" t="s">
        <v>10</v>
      </c>
      <c r="F14" s="92"/>
    </row>
    <row r="15" spans="1:6" s="39" customFormat="1" ht="35.1" customHeight="1" thickTop="1" thickBot="1" x14ac:dyDescent="0.3">
      <c r="A15" s="83"/>
      <c r="B15" s="80"/>
      <c r="C15" s="38" t="s">
        <v>88</v>
      </c>
      <c r="D15" s="31">
        <v>1</v>
      </c>
      <c r="E15" s="28" t="s">
        <v>90</v>
      </c>
      <c r="F15" s="62" t="s">
        <v>124</v>
      </c>
    </row>
    <row r="16" spans="1:6" s="1" customFormat="1" ht="39" customHeight="1" thickTop="1" thickBot="1" x14ac:dyDescent="0.3">
      <c r="A16" s="83"/>
      <c r="B16" s="80"/>
      <c r="C16" s="17" t="s">
        <v>3</v>
      </c>
      <c r="D16" s="40">
        <f>DTKA_FEC_M*(DTKA_FEC_OVERLAP+1)</f>
        <v>120</v>
      </c>
      <c r="E16" s="28" t="s">
        <v>11</v>
      </c>
      <c r="F16" s="60" t="s">
        <v>125</v>
      </c>
    </row>
    <row r="17" spans="1:9" s="1" customFormat="1" ht="54" customHeight="1" thickTop="1" thickBot="1" x14ac:dyDescent="0.3">
      <c r="A17" s="83"/>
      <c r="B17" s="80"/>
      <c r="C17" s="17" t="s">
        <v>4</v>
      </c>
      <c r="D17" s="40">
        <f>FLOOR(DTKA_FEC_N/DTKA_NUM_AUTHS,1)</f>
        <v>20</v>
      </c>
      <c r="E17" s="28" t="s">
        <v>12</v>
      </c>
      <c r="F17" s="60" t="s">
        <v>127</v>
      </c>
    </row>
    <row r="18" spans="1:9" s="1" customFormat="1" ht="12.95" customHeight="1" thickTop="1" x14ac:dyDescent="0.25">
      <c r="A18" s="93"/>
      <c r="B18" s="93"/>
      <c r="C18" s="93"/>
      <c r="D18" s="93"/>
      <c r="E18" s="93"/>
      <c r="F18" s="93"/>
    </row>
    <row r="19" spans="1:9" s="1" customFormat="1" ht="62.1" customHeight="1" x14ac:dyDescent="0.35">
      <c r="A19" s="14"/>
      <c r="B19" s="14"/>
      <c r="C19" s="84" t="s">
        <v>62</v>
      </c>
      <c r="D19" s="84"/>
      <c r="E19" s="84"/>
      <c r="F19" s="84"/>
    </row>
    <row r="20" spans="1:9" s="1" customFormat="1" ht="27.95" customHeight="1" thickBot="1" x14ac:dyDescent="0.3">
      <c r="A20" s="94" t="s">
        <v>73</v>
      </c>
      <c r="B20" s="80"/>
      <c r="C20" s="17" t="s">
        <v>17</v>
      </c>
      <c r="D20" s="20">
        <v>100</v>
      </c>
      <c r="E20" s="28" t="s">
        <v>63</v>
      </c>
      <c r="F20" s="60" t="s">
        <v>81</v>
      </c>
    </row>
    <row r="21" spans="1:9" ht="21.95" customHeight="1" thickTop="1" thickBot="1" x14ac:dyDescent="0.3">
      <c r="A21" s="94"/>
      <c r="B21" s="80"/>
      <c r="C21" s="87" t="s">
        <v>18</v>
      </c>
      <c r="D21" s="53">
        <f>DTKA_FEC_K/DTKA_FEC_M*100</f>
        <v>83.333333333333343</v>
      </c>
      <c r="E21" s="54" t="s">
        <v>65</v>
      </c>
      <c r="F21" s="75" t="s">
        <v>82</v>
      </c>
    </row>
    <row r="22" spans="1:9" ht="21.95" customHeight="1" thickTop="1" thickBot="1" x14ac:dyDescent="0.3">
      <c r="A22" s="94"/>
      <c r="B22" s="80"/>
      <c r="C22" s="88"/>
      <c r="D22" s="20">
        <f>DTKA_FEC_K</f>
        <v>50</v>
      </c>
      <c r="E22" s="28" t="s">
        <v>64</v>
      </c>
      <c r="F22" s="76"/>
    </row>
    <row r="23" spans="1:9" ht="21.95" customHeight="1" thickTop="1" thickBot="1" x14ac:dyDescent="0.3">
      <c r="A23" s="94"/>
      <c r="B23" s="80"/>
      <c r="C23" s="89" t="s">
        <v>66</v>
      </c>
      <c r="D23" s="21">
        <f>100-D21</f>
        <v>16.666666666666657</v>
      </c>
      <c r="E23" s="28" t="s">
        <v>65</v>
      </c>
      <c r="F23" s="75" t="s">
        <v>83</v>
      </c>
    </row>
    <row r="24" spans="1:9" ht="21.95" customHeight="1" thickTop="1" thickBot="1" x14ac:dyDescent="0.3">
      <c r="A24" s="94"/>
      <c r="B24" s="80"/>
      <c r="C24" s="90"/>
      <c r="D24" s="20">
        <f>DTKA_FEC_M-DTKA_FEC_K</f>
        <v>10</v>
      </c>
      <c r="E24" s="28" t="s">
        <v>64</v>
      </c>
      <c r="F24" s="76"/>
      <c r="I24" s="81"/>
    </row>
    <row r="25" spans="1:9" s="41" customFormat="1" ht="21.95" customHeight="1" thickTop="1" thickBot="1" x14ac:dyDescent="0.3">
      <c r="A25" s="94"/>
      <c r="B25" s="80"/>
      <c r="C25" s="44" t="s">
        <v>101</v>
      </c>
      <c r="D25" s="20">
        <f>MOD(DTKA_FEC_M,DTKA_NUM_AUTHS)*(DTKA_FEC_OVERLAP+1)</f>
        <v>0</v>
      </c>
      <c r="E25" s="28" t="s">
        <v>64</v>
      </c>
      <c r="F25" s="63"/>
      <c r="I25" s="81"/>
    </row>
    <row r="26" spans="1:9" ht="21.95" customHeight="1" thickTop="1" thickBot="1" x14ac:dyDescent="0.3">
      <c r="A26" s="94"/>
      <c r="B26" s="80"/>
      <c r="C26" s="89" t="s">
        <v>19</v>
      </c>
      <c r="D26" s="22">
        <f>(1-DTKA_FEC_K/DTKA_FEC_N)*100</f>
        <v>58.333333333333329</v>
      </c>
      <c r="E26" s="28" t="s">
        <v>67</v>
      </c>
      <c r="F26" s="75" t="s">
        <v>84</v>
      </c>
      <c r="I26" s="81"/>
    </row>
    <row r="27" spans="1:9" ht="21.95" customHeight="1" thickTop="1" thickBot="1" x14ac:dyDescent="0.3">
      <c r="A27" s="94"/>
      <c r="B27" s="80"/>
      <c r="C27" s="90"/>
      <c r="D27" s="20">
        <f>DTKA_FEC_N-DTKA_FEC_K</f>
        <v>70</v>
      </c>
      <c r="E27" s="28" t="s">
        <v>68</v>
      </c>
      <c r="F27" s="76"/>
      <c r="I27" s="81"/>
    </row>
    <row r="28" spans="1:9" ht="21.95" customHeight="1" thickTop="1" thickBot="1" x14ac:dyDescent="0.3">
      <c r="A28" s="94"/>
      <c r="B28" s="80"/>
      <c r="C28" s="77" t="s">
        <v>32</v>
      </c>
      <c r="D28" s="22">
        <f>D29/DTKA_NUM_AUTHS*100</f>
        <v>33.333333333333329</v>
      </c>
      <c r="E28" s="28" t="s">
        <v>74</v>
      </c>
      <c r="F28" s="75" t="s">
        <v>102</v>
      </c>
      <c r="I28" s="81"/>
    </row>
    <row r="29" spans="1:9" ht="21.95" customHeight="1" thickTop="1" thickBot="1" x14ac:dyDescent="0.3">
      <c r="A29" s="94"/>
      <c r="B29" s="80"/>
      <c r="C29" s="78"/>
      <c r="D29" s="53">
        <f>IF(DTKA_FEC_OVERLAP=0,DTKA_NUM_AUTHS-ROUNDUP(DTKA_FEC_K/DTKA_FEC_Q,0),IF((FLOOR((DTKA_FEC_M-DTKA_FEC_K)*(DTKA_FEC_OVERLAP+1)/DTKA_FEC_Q,1)+DTKA_FEC_OVERLAP)&gt;=DTKA_NUM_AUTHS,DTKA_NUM_AUTHS-1,(FLOOR((DTKA_FEC_M-DTKA_FEC_K)*(DTKA_FEC_OVERLAP+1)/DTKA_FEC_Q,1)+DTKA_FEC_OVERLAP)))</f>
        <v>2</v>
      </c>
      <c r="E29" s="54" t="s">
        <v>16</v>
      </c>
      <c r="F29" s="76"/>
      <c r="I29" s="81"/>
    </row>
    <row r="30" spans="1:9" ht="21.95" customHeight="1" thickTop="1" thickBot="1" x14ac:dyDescent="0.3">
      <c r="A30" s="94"/>
      <c r="B30" s="80"/>
      <c r="C30" s="77" t="s">
        <v>33</v>
      </c>
      <c r="D30" s="22">
        <f>D31/DTKA_NUM_AUTHS*100</f>
        <v>50</v>
      </c>
      <c r="E30" s="28" t="s">
        <v>74</v>
      </c>
      <c r="F30" s="75" t="s">
        <v>85</v>
      </c>
      <c r="I30" s="81"/>
    </row>
    <row r="31" spans="1:9" ht="21.95" customHeight="1" thickTop="1" thickBot="1" x14ac:dyDescent="0.3">
      <c r="A31" s="94"/>
      <c r="B31" s="80"/>
      <c r="C31" s="78"/>
      <c r="D31" s="55">
        <f>FLOOR(DTKA_NUM_AUTHS-DTKA_FEC_K/DTKA_FEC_Q,1)</f>
        <v>3</v>
      </c>
      <c r="E31" s="54" t="s">
        <v>16</v>
      </c>
      <c r="F31" s="76"/>
      <c r="I31" s="81"/>
    </row>
    <row r="32" spans="1:9" ht="21.95" customHeight="1" thickTop="1" thickBot="1" x14ac:dyDescent="0.3">
      <c r="A32" s="94"/>
      <c r="B32" s="80"/>
      <c r="C32" s="77" t="s">
        <v>89</v>
      </c>
      <c r="D32" s="22">
        <f>D33/DTKA_NUM_AUTHS*100</f>
        <v>33.333333333333329</v>
      </c>
      <c r="E32" s="28" t="s">
        <v>74</v>
      </c>
      <c r="F32" s="75" t="s">
        <v>128</v>
      </c>
    </row>
    <row r="33" spans="1:9" ht="21.95" customHeight="1" thickTop="1" thickBot="1" x14ac:dyDescent="0.3">
      <c r="A33" s="94"/>
      <c r="B33" s="80"/>
      <c r="C33" s="78"/>
      <c r="D33" s="55">
        <f>IF((ROUNDUP(DTKA_FEC_K/DTKA_FEC_Q,0))&lt;0,0,ROUNDUP(DTKA_FEC_K/DTKA_FEC_Q,0)-1)</f>
        <v>2</v>
      </c>
      <c r="E33" s="54" t="s">
        <v>16</v>
      </c>
      <c r="F33" s="76"/>
    </row>
    <row r="34" spans="1:9" ht="12.95" customHeight="1" thickTop="1" x14ac:dyDescent="0.25">
      <c r="A34" s="19"/>
      <c r="B34" s="19"/>
      <c r="C34" s="96"/>
      <c r="D34" s="96"/>
      <c r="E34" s="96"/>
      <c r="F34" s="96"/>
      <c r="I34" s="81"/>
    </row>
    <row r="35" spans="1:9" ht="27.95" customHeight="1" thickBot="1" x14ac:dyDescent="0.3">
      <c r="A35" s="94" t="s">
        <v>36</v>
      </c>
      <c r="B35" s="80" t="s">
        <v>69</v>
      </c>
      <c r="C35" s="17" t="s">
        <v>37</v>
      </c>
      <c r="D35" s="20">
        <v>8</v>
      </c>
      <c r="E35" s="28" t="s">
        <v>35</v>
      </c>
      <c r="F35" s="60"/>
      <c r="I35" s="81"/>
    </row>
    <row r="36" spans="1:9" ht="27.95" customHeight="1" thickTop="1" thickBot="1" x14ac:dyDescent="0.3">
      <c r="A36" s="94"/>
      <c r="B36" s="80"/>
      <c r="C36" s="17" t="s">
        <v>38</v>
      </c>
      <c r="D36" s="20">
        <f>IF(SYSTEM=32,2*4,2*8)</f>
        <v>8</v>
      </c>
      <c r="E36" s="28" t="s">
        <v>35</v>
      </c>
      <c r="F36" s="60"/>
      <c r="I36" s="81"/>
    </row>
    <row r="37" spans="1:9" ht="27.95" customHeight="1" thickTop="1" thickBot="1" x14ac:dyDescent="0.3">
      <c r="A37" s="94"/>
      <c r="B37" s="80"/>
      <c r="C37" s="17" t="s">
        <v>39</v>
      </c>
      <c r="D37" s="20">
        <f>IF(SYSTEM=32,4,8)</f>
        <v>4</v>
      </c>
      <c r="E37" s="28" t="s">
        <v>35</v>
      </c>
      <c r="F37" s="60"/>
      <c r="I37" s="81"/>
    </row>
    <row r="38" spans="1:9" ht="27.95" customHeight="1" thickTop="1" thickBot="1" x14ac:dyDescent="0.3">
      <c r="A38" s="94"/>
      <c r="B38" s="80"/>
      <c r="C38" s="17" t="s">
        <v>40</v>
      </c>
      <c r="D38" s="20">
        <v>2</v>
      </c>
      <c r="E38" s="28" t="s">
        <v>35</v>
      </c>
      <c r="F38" s="60"/>
    </row>
    <row r="39" spans="1:9" ht="27.95" customHeight="1" thickTop="1" thickBot="1" x14ac:dyDescent="0.3">
      <c r="A39" s="94"/>
      <c r="B39" s="80"/>
      <c r="C39" s="17" t="s">
        <v>41</v>
      </c>
      <c r="D39" s="20">
        <f>KEY_SIZE</f>
        <v>1024</v>
      </c>
      <c r="E39" s="28" t="s">
        <v>35</v>
      </c>
      <c r="F39" s="64" t="s">
        <v>129</v>
      </c>
    </row>
    <row r="40" spans="1:9" ht="27.95" customHeight="1" thickTop="1" thickBot="1" x14ac:dyDescent="0.3">
      <c r="A40" s="94"/>
      <c r="B40" s="80"/>
      <c r="C40" s="16" t="s">
        <v>45</v>
      </c>
      <c r="D40" s="30">
        <f>SUM(D35:D39)</f>
        <v>1046</v>
      </c>
      <c r="E40" s="28" t="s">
        <v>42</v>
      </c>
      <c r="F40" s="60" t="s">
        <v>86</v>
      </c>
    </row>
    <row r="41" spans="1:9" ht="27.95" customHeight="1" thickTop="1" thickBot="1" x14ac:dyDescent="0.3">
      <c r="A41" s="94"/>
      <c r="B41" s="80"/>
      <c r="C41" s="16" t="s">
        <v>46</v>
      </c>
      <c r="D41" s="42">
        <f>(DTKA_NUM_AUTHS+USER_NODES)*RECORD_SIZE/(KEY_GEN_INTERVAL)</f>
        <v>156.9</v>
      </c>
      <c r="E41" s="28" t="s">
        <v>92</v>
      </c>
      <c r="F41" s="60" t="s">
        <v>130</v>
      </c>
      <c r="I41" s="81"/>
    </row>
    <row r="42" spans="1:9" ht="12.95" customHeight="1" thickTop="1" thickBot="1" x14ac:dyDescent="0.3">
      <c r="A42" s="94"/>
      <c r="C42" s="95"/>
      <c r="D42" s="95"/>
      <c r="E42" s="95"/>
      <c r="F42" s="95"/>
      <c r="I42" s="81"/>
    </row>
    <row r="43" spans="1:9" ht="27.95" customHeight="1" thickTop="1" thickBot="1" x14ac:dyDescent="0.3">
      <c r="A43" s="94"/>
      <c r="B43" s="79" t="s">
        <v>59</v>
      </c>
      <c r="C43" s="18" t="s">
        <v>58</v>
      </c>
      <c r="D43" s="20">
        <f>IF(SYSTEM=32,4,8)</f>
        <v>4</v>
      </c>
      <c r="E43" s="28" t="s">
        <v>35</v>
      </c>
      <c r="F43" s="60"/>
      <c r="I43" s="81"/>
    </row>
    <row r="44" spans="1:9" ht="27.95" customHeight="1" thickTop="1" thickBot="1" x14ac:dyDescent="0.3">
      <c r="A44" s="94"/>
      <c r="B44" s="79"/>
      <c r="C44" s="18" t="s">
        <v>47</v>
      </c>
      <c r="D44" s="20">
        <f>(DTKA_NUM_AUTHS+USER_NODES)*RECORD_SIZE</f>
        <v>9414</v>
      </c>
      <c r="E44" s="28" t="s">
        <v>35</v>
      </c>
      <c r="F44" s="60"/>
    </row>
    <row r="45" spans="1:9" ht="27.95" customHeight="1" thickTop="1" thickBot="1" x14ac:dyDescent="0.3">
      <c r="A45" s="94"/>
      <c r="B45" s="79"/>
      <c r="C45" s="18" t="s">
        <v>50</v>
      </c>
      <c r="D45" s="20">
        <f>SUM(D43:D44)</f>
        <v>9418</v>
      </c>
      <c r="E45" s="28" t="s">
        <v>48</v>
      </c>
      <c r="F45" s="60" t="s">
        <v>132</v>
      </c>
    </row>
    <row r="46" spans="1:9" ht="27.95" customHeight="1" thickTop="1" thickBot="1" x14ac:dyDescent="0.3">
      <c r="A46" s="94"/>
      <c r="B46" s="79"/>
      <c r="C46" s="15" t="s">
        <v>46</v>
      </c>
      <c r="D46" s="42">
        <f>DTKA_NUM_AUTHS*D45/(COMPILATION_INTERVAL)</f>
        <v>941.8</v>
      </c>
      <c r="E46" s="28" t="s">
        <v>92</v>
      </c>
      <c r="F46" s="60" t="s">
        <v>131</v>
      </c>
    </row>
    <row r="47" spans="1:9" ht="12.95" customHeight="1" thickTop="1" thickBot="1" x14ac:dyDescent="0.3">
      <c r="A47" s="94"/>
      <c r="B47" s="19"/>
      <c r="C47" s="95"/>
      <c r="D47" s="95"/>
      <c r="E47" s="95"/>
      <c r="F47" s="95"/>
      <c r="I47" s="81"/>
    </row>
    <row r="48" spans="1:9" ht="27.95" customHeight="1" thickTop="1" thickBot="1" x14ac:dyDescent="0.3">
      <c r="A48" s="94"/>
      <c r="B48" s="80" t="s">
        <v>53</v>
      </c>
      <c r="C48" s="17" t="s">
        <v>26</v>
      </c>
      <c r="D48" s="20">
        <f>BLOCK_SIZE*DTKA_FEC_K</f>
        <v>9450</v>
      </c>
      <c r="E48" s="28" t="s">
        <v>35</v>
      </c>
      <c r="F48" s="60"/>
      <c r="I48" s="81"/>
    </row>
    <row r="49" spans="1:9" ht="27.95" customHeight="1" thickTop="1" thickBot="1" x14ac:dyDescent="0.3">
      <c r="A49" s="94"/>
      <c r="B49" s="80"/>
      <c r="C49" s="17" t="s">
        <v>52</v>
      </c>
      <c r="D49" s="20">
        <f>BLOCK_SIZE*(DTKA_FEC_M-DTKA_FEC_K)</f>
        <v>1890</v>
      </c>
      <c r="E49" s="28" t="s">
        <v>35</v>
      </c>
      <c r="F49" s="60"/>
      <c r="I49" s="81"/>
    </row>
    <row r="50" spans="1:9" ht="27.95" customHeight="1" thickTop="1" thickBot="1" x14ac:dyDescent="0.3">
      <c r="A50" s="94"/>
      <c r="B50" s="80"/>
      <c r="C50" s="16" t="s">
        <v>51</v>
      </c>
      <c r="D50" s="30">
        <f>ROUNDUP(D44/DTKA_FEC_K,0)</f>
        <v>189</v>
      </c>
      <c r="E50" s="28" t="s">
        <v>35</v>
      </c>
      <c r="F50" s="60" t="s">
        <v>87</v>
      </c>
      <c r="I50" s="81"/>
    </row>
    <row r="51" spans="1:9" ht="12.95" customHeight="1" thickTop="1" thickBot="1" x14ac:dyDescent="0.3">
      <c r="A51" s="94"/>
      <c r="B51" s="19"/>
      <c r="C51" s="95"/>
      <c r="D51" s="95"/>
      <c r="E51" s="95"/>
      <c r="F51" s="95"/>
      <c r="I51" s="81"/>
    </row>
    <row r="52" spans="1:9" ht="27.95" customHeight="1" thickTop="1" thickBot="1" x14ac:dyDescent="0.3">
      <c r="A52" s="94"/>
      <c r="B52" s="80" t="s">
        <v>56</v>
      </c>
      <c r="C52" s="17" t="s">
        <v>58</v>
      </c>
      <c r="D52" s="20">
        <f>IF(SYSTEM=32,4,8)</f>
        <v>4</v>
      </c>
      <c r="E52" s="28" t="s">
        <v>35</v>
      </c>
      <c r="F52" s="60"/>
      <c r="I52" s="81"/>
    </row>
    <row r="53" spans="1:9" ht="27.95" customHeight="1" thickTop="1" thickBot="1" x14ac:dyDescent="0.3">
      <c r="A53" s="94"/>
      <c r="B53" s="80"/>
      <c r="C53" s="17" t="s">
        <v>54</v>
      </c>
      <c r="D53" s="20">
        <v>32</v>
      </c>
      <c r="E53" s="28" t="s">
        <v>35</v>
      </c>
      <c r="F53" s="60"/>
    </row>
    <row r="54" spans="1:9" ht="27.95" customHeight="1" thickTop="1" thickBot="1" x14ac:dyDescent="0.3">
      <c r="A54" s="94"/>
      <c r="B54" s="80"/>
      <c r="C54" s="17" t="s">
        <v>55</v>
      </c>
      <c r="D54" s="20">
        <f>IF(SYSTEM=32,4,8)</f>
        <v>4</v>
      </c>
      <c r="E54" s="28" t="s">
        <v>35</v>
      </c>
      <c r="F54" s="60"/>
    </row>
    <row r="55" spans="1:9" ht="27.95" customHeight="1" thickTop="1" thickBot="1" x14ac:dyDescent="0.3">
      <c r="A55" s="94"/>
      <c r="B55" s="80"/>
      <c r="C55" s="17" t="s">
        <v>53</v>
      </c>
      <c r="D55" s="20">
        <f>BLOCK_SIZE</f>
        <v>189</v>
      </c>
      <c r="E55" s="28" t="s">
        <v>35</v>
      </c>
      <c r="F55" s="60"/>
    </row>
    <row r="56" spans="1:9" ht="27.95" customHeight="1" thickTop="1" thickBot="1" x14ac:dyDescent="0.3">
      <c r="A56" s="94"/>
      <c r="B56" s="80"/>
      <c r="C56" s="17" t="s">
        <v>57</v>
      </c>
      <c r="D56" s="20">
        <f>SUM(D52:D55)</f>
        <v>229</v>
      </c>
      <c r="E56" s="28" t="s">
        <v>70</v>
      </c>
      <c r="F56" s="60"/>
    </row>
    <row r="57" spans="1:9" ht="27.95" customHeight="1" thickTop="1" thickBot="1" x14ac:dyDescent="0.3">
      <c r="A57" s="94"/>
      <c r="B57" s="80"/>
      <c r="C57" s="16" t="s">
        <v>46</v>
      </c>
      <c r="D57" s="42">
        <f>DTKA_FEC_N*D56/(COMPILATION_INTERVAL)</f>
        <v>458</v>
      </c>
      <c r="E57" s="28" t="s">
        <v>92</v>
      </c>
      <c r="F57" s="60" t="s">
        <v>131</v>
      </c>
    </row>
    <row r="58" spans="1:9" ht="16.5" hidden="1" thickTop="1" x14ac:dyDescent="0.25"/>
    <row r="59" spans="1:9" hidden="1" x14ac:dyDescent="0.25"/>
    <row r="60" spans="1:9" hidden="1" x14ac:dyDescent="0.25"/>
    <row r="61" spans="1:9" hidden="1" x14ac:dyDescent="0.25"/>
    <row r="62" spans="1:9" hidden="1" x14ac:dyDescent="0.25"/>
    <row r="63" spans="1:9" hidden="1" x14ac:dyDescent="0.25"/>
    <row r="64" spans="1:9" hidden="1" x14ac:dyDescent="0.25"/>
    <row r="65" ht="15.95" hidden="1" customHeight="1" x14ac:dyDescent="0.25"/>
    <row r="66" hidden="1" x14ac:dyDescent="0.25"/>
    <row r="67" hidden="1" x14ac:dyDescent="0.25"/>
    <row r="68" hidden="1" x14ac:dyDescent="0.25"/>
    <row r="69" hidden="1" x14ac:dyDescent="0.25"/>
    <row r="70" hidden="1" x14ac:dyDescent="0.25"/>
  </sheetData>
  <sheetProtection deleteColumns="0" selectLockedCells="1"/>
  <mergeCells count="37">
    <mergeCell ref="B11:B17"/>
    <mergeCell ref="B3:B9"/>
    <mergeCell ref="F13:F14"/>
    <mergeCell ref="B52:B57"/>
    <mergeCell ref="A18:F18"/>
    <mergeCell ref="A20:A33"/>
    <mergeCell ref="B35:B41"/>
    <mergeCell ref="A35:A57"/>
    <mergeCell ref="C51:F51"/>
    <mergeCell ref="C47:F47"/>
    <mergeCell ref="C42:F42"/>
    <mergeCell ref="C34:F34"/>
    <mergeCell ref="B20:B33"/>
    <mergeCell ref="A3:A9"/>
    <mergeCell ref="F28:F29"/>
    <mergeCell ref="C30:C31"/>
    <mergeCell ref="I47:I52"/>
    <mergeCell ref="C1:F1"/>
    <mergeCell ref="A11:A17"/>
    <mergeCell ref="C19:F19"/>
    <mergeCell ref="C13:C14"/>
    <mergeCell ref="A10:F10"/>
    <mergeCell ref="C21:C22"/>
    <mergeCell ref="F21:F22"/>
    <mergeCell ref="C23:C24"/>
    <mergeCell ref="F23:F24"/>
    <mergeCell ref="C26:C27"/>
    <mergeCell ref="F26:F27"/>
    <mergeCell ref="C28:C29"/>
    <mergeCell ref="I34:I37"/>
    <mergeCell ref="I41:I43"/>
    <mergeCell ref="I24:I31"/>
    <mergeCell ref="F30:F31"/>
    <mergeCell ref="C32:C33"/>
    <mergeCell ref="F32:F33"/>
    <mergeCell ref="B43:B46"/>
    <mergeCell ref="B48:B50"/>
  </mergeCells>
  <phoneticPr fontId="16" type="noConversion"/>
  <conditionalFormatting sqref="C17 E17">
    <cfRule type="expression" dxfId="1013" priority="7">
      <formula>MOD(DTKA_FEC_Q,DTKA_FEC_OVERLAP+1)&lt;&gt;0</formula>
    </cfRule>
  </conditionalFormatting>
  <conditionalFormatting sqref="D17">
    <cfRule type="expression" dxfId="1012" priority="5">
      <formula>MOD(DTKA_FEC_Q,DTKA_FEC_OVERLAP+1)&lt;&gt;0</formula>
    </cfRule>
  </conditionalFormatting>
  <conditionalFormatting sqref="D14">
    <cfRule type="expression" dxfId="1011" priority="2">
      <formula>MOD(DTKA_FEC_M,DTKA_NUM_AUTHS)&lt;&gt;0</formula>
    </cfRule>
  </conditionalFormatting>
  <conditionalFormatting sqref="E14 C13:C14">
    <cfRule type="expression" dxfId="1010" priority="1">
      <formula>MOD(DTKA_FEC_M,DTKA_NUM_AUTHS)&lt;&gt;0</formula>
    </cfRule>
  </conditionalFormatting>
  <dataValidations count="10">
    <dataValidation type="list" allowBlank="1" showInputMessage="1" showErrorMessage="1" promptTitle="Input Type" prompt="One can chose whether to give a percentage for the redundancy or to give directly the number of parity blocks." sqref="E13">
      <formula1>"% parity, parity blocks"</formula1>
    </dataValidation>
    <dataValidation type="list" showInputMessage="1" showErrorMessage="1" errorTitle="Invalid Number" error="This is not a valid value for the system architecture parameter. Choose either 32 or 64 bit." promptTitle="System Architecture" prompt="Choose here whether you run DTKA_x000a_on a 32 bit or a 64 bit machine." sqref="D3">
      <formula1>"32,64"</formula1>
    </dataValidation>
    <dataValidation type="whole" operator="greaterThanOrEqual" allowBlank="1" showInputMessage="1" showErrorMessage="1" errorTitle="Invalid Number" error="This is not a valid value for the key size parameter. Choose 0 or any positive integer." promptTitle="Key Size" prompt="Choose a positive integer for the size of a public key." sqref="D5">
      <formula1>0</formula1>
    </dataValidation>
    <dataValidation type="whole" operator="greaterThan" showInputMessage="1" showErrorMessage="1" errorTitle="Invalid Number" error="This is not a valid value for the key generation interval parameter. Choose any positive whole number," promptTitle="Key Generation Interval" prompt="The interval for the key pair generation is defined here." sqref="D6:D8">
      <formula1>0</formula1>
    </dataValidation>
    <dataValidation type="whole" operator="greaterThan" allowBlank="1" showInputMessage="1" showErrorMessage="1" errorTitle="Invalid Number" error="This is not a valid value for the key generation interval parameter. Choose any positive whole number," promptTitle="Compilation Interval" prompt="This value is for the compilation interval." sqref="D9">
      <formula1>0</formula1>
    </dataValidation>
    <dataValidation type="decimal" operator="greaterThanOrEqual" allowBlank="1" showInputMessage="1" showErrorMessage="1" errorTitle="Invalid Parameter" error="This is not a valid value for that parameter." promptTitle="Parity Blocks" prompt="Defines the number of blocks in total for one consensus bulletin (original data blocks + parity blocks). The number of blocks can be given as a percentage of redundancy or as number of parity blocks (select the method right to the number)." sqref="D13">
      <formula1>0</formula1>
    </dataValidation>
    <dataValidation type="whole" allowBlank="1" showInputMessage="1" showErrorMessage="1" errorTitle="Invalid Number" error="This is not a valid value for that parameter. Choose a value from the list." promptTitle="Original Blocks" prompt="Defines in how many blocks a consensus bulletin is split up (without parity blocks). A key authority node _x000a_(its kapublish daemon) splits a consensus bulletin into K equally_x000a_sized blocks before erasure coding the blocks from the original consensus bulletin" sqref="D12">
      <formula1>1</formula1>
      <formula2>1000</formula2>
    </dataValidation>
    <dataValidation type="whole" allowBlank="1" showInputMessage="1" showErrorMessage="1" errorTitle="Invalid Value" error="The backup number per share must be less than the number of key authorities." promptTitle="Backup" prompt="Choose here the number of backups per share. The number must be less than the number of key authorities (DTKA_NUM_AUTHS)." sqref="D15">
      <formula1>0</formula1>
      <formula2>DTKA_NUM_AUTHS-1</formula2>
    </dataValidation>
    <dataValidation type="list" showInputMessage="1" showErrorMessage="1" sqref="E6">
      <formula1>"seconds,minutes,hours,days"</formula1>
    </dataValidation>
    <dataValidation type="list" allowBlank="1" showInputMessage="1" showErrorMessage="1" sqref="E9">
      <formula1>"seconds,minutes,hours,days"</formula1>
    </dataValidation>
  </dataValidations>
  <pageMargins left="0.7" right="0.7" top="0.75" bottom="0.75" header="0.3" footer="0.3"/>
  <pageSetup paperSize="9" orientation="portrait" r:id="rId1"/>
  <ignoredErrors>
    <ignoredError sqref="D24 D22 D31 D29"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30" r:id="rId4" name="Button 6">
              <controlPr defaultSize="0" autoFill="0" autoPict="0" macro="[0]!ThisWorkbook.eval">
                <anchor moveWithCells="1" sizeWithCells="1">
                  <from>
                    <xdr:col>5</xdr:col>
                    <xdr:colOff>38100</xdr:colOff>
                    <xdr:row>0</xdr:row>
                    <xdr:rowOff>0</xdr:rowOff>
                  </from>
                  <to>
                    <xdr:col>5</xdr:col>
                    <xdr:colOff>2781300</xdr:colOff>
                    <xdr:row>0</xdr:row>
                    <xdr:rowOff>571500</xdr:rowOff>
                  </to>
                </anchor>
              </controlPr>
            </control>
          </mc:Choice>
        </mc:AlternateContent>
        <mc:AlternateContent xmlns:mc="http://schemas.openxmlformats.org/markup-compatibility/2006">
          <mc:Choice Requires="x14">
            <control shapeId="1036" r:id="rId5" name="Button 12">
              <controlPr defaultSize="0" autoFill="0" autoPict="0" macro="[0]!ThisWorkbook.reset">
                <anchor moveWithCells="1" sizeWithCells="1">
                  <from>
                    <xdr:col>5</xdr:col>
                    <xdr:colOff>5676900</xdr:colOff>
                    <xdr:row>0</xdr:row>
                    <xdr:rowOff>0</xdr:rowOff>
                  </from>
                  <to>
                    <xdr:col>5</xdr:col>
                    <xdr:colOff>8410575</xdr:colOff>
                    <xdr:row>0</xdr:row>
                    <xdr:rowOff>571500</xdr:rowOff>
                  </to>
                </anchor>
              </controlPr>
            </control>
          </mc:Choice>
        </mc:AlternateContent>
        <mc:AlternateContent xmlns:mc="http://schemas.openxmlformats.org/markup-compatibility/2006">
          <mc:Choice Requires="x14">
            <control shapeId="1038" r:id="rId6" name="Button 14">
              <controlPr defaultSize="0" autoFill="0" autoPict="0" macro="[0]!ThisWorkbook.addToCompare">
                <anchor moveWithCells="1" sizeWithCells="1">
                  <from>
                    <xdr:col>5</xdr:col>
                    <xdr:colOff>2857500</xdr:colOff>
                    <xdr:row>0</xdr:row>
                    <xdr:rowOff>0</xdr:rowOff>
                  </from>
                  <to>
                    <xdr:col>5</xdr:col>
                    <xdr:colOff>5600700</xdr:colOff>
                    <xdr:row>0</xdr:row>
                    <xdr:rowOff>571500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showInputMessage="1" showErrorMessage="1" errorTitle="Invalid Number" error="This is not a valid value for the user nodes parameter. Choose one value on the list." promptTitle="User Nodes" prompt="Select how many user nodes (non key authority nodes) are part of DTKA.">
          <x14:formula1>
            <xm:f>VALUES!$A$1:$A$101</xm:f>
          </x14:formula1>
          <xm:sqref>D4</xm:sqref>
        </x14:dataValidation>
        <x14:dataValidation type="list" showInputMessage="1" showErrorMessage="1" errorTitle="Invalid Number" error="This is not a valid value for that parameter. Choose a value in the list." promptTitle="Key Authority Nodes" prompt="Choose here how many key authority nodes are part of the distributed key authority.">
          <x14:formula1>
            <xm:f>VALUES!$A$3:$A$50</xm:f>
          </x14:formula1>
          <xm:sqref>D11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IZATION">
    <tabColor rgb="FF00B050"/>
  </sheetPr>
  <dimension ref="A1:ATG99"/>
  <sheetViews>
    <sheetView workbookViewId="0"/>
  </sheetViews>
  <sheetFormatPr defaultColWidth="0" defaultRowHeight="15.75" x14ac:dyDescent="0.25"/>
  <cols>
    <col min="1" max="1" width="5.875" customWidth="1"/>
    <col min="2" max="2" width="20.875" customWidth="1"/>
    <col min="3" max="3" width="10" bestFit="1" customWidth="1"/>
    <col min="4" max="5" width="2.875" bestFit="1" customWidth="1"/>
    <col min="6" max="8" width="2.875" customWidth="1"/>
    <col min="9" max="10" width="2.875" bestFit="1" customWidth="1"/>
    <col min="11" max="13" width="2.875" customWidth="1"/>
    <col min="14" max="58" width="3.875" bestFit="1" customWidth="1"/>
    <col min="59" max="63" width="3.875" customWidth="1"/>
    <col min="64" max="103" width="3.875" bestFit="1" customWidth="1"/>
    <col min="104" max="1003" width="4.875" bestFit="1" customWidth="1"/>
    <col min="1004" max="1203" width="5.875" bestFit="1" customWidth="1"/>
    <col min="1204" max="16384" width="10.875" hidden="1"/>
  </cols>
  <sheetData>
    <row r="1" spans="1:63" ht="23.25" x14ac:dyDescent="0.35">
      <c r="B1" s="4" t="str">
        <f>"DTKA configuration with 6 distributed key authority nodes ("&amp;COUNTIF($C$6:$C$11,"failing")&amp;" failing node(s)):"</f>
        <v>DTKA configuration with 6 distributed key authority nodes (0 failing node(s)):</v>
      </c>
    </row>
    <row r="2" spans="1:63" x14ac:dyDescent="0.25">
      <c r="A2" s="97"/>
      <c r="D2" s="98" t="s">
        <v>93</v>
      </c>
      <c r="E2" s="99"/>
      <c r="F2" s="99"/>
      <c r="G2" s="99"/>
      <c r="H2" s="99"/>
      <c r="I2" s="99"/>
      <c r="J2" s="99"/>
      <c r="K2" s="99"/>
      <c r="L2" s="99"/>
      <c r="M2" s="99"/>
      <c r="N2" s="99"/>
      <c r="O2" s="99"/>
      <c r="P2" s="99"/>
      <c r="Q2" s="99"/>
      <c r="R2" s="99"/>
      <c r="S2" s="99"/>
      <c r="T2" s="99"/>
      <c r="U2" s="99"/>
      <c r="V2" s="99"/>
      <c r="W2" s="99"/>
      <c r="X2" s="99"/>
      <c r="Y2" s="99"/>
      <c r="Z2" s="99"/>
      <c r="AA2" s="99"/>
      <c r="AB2" s="99"/>
      <c r="AC2" s="99"/>
      <c r="AD2" s="99"/>
      <c r="AE2" s="99"/>
      <c r="AF2" s="99"/>
      <c r="AG2" s="99"/>
      <c r="AH2" s="99"/>
      <c r="AI2" s="99"/>
      <c r="AJ2" s="99"/>
      <c r="AK2" s="99"/>
      <c r="AL2" s="99"/>
      <c r="AM2" s="99"/>
      <c r="AN2" s="99"/>
      <c r="AO2" s="99"/>
      <c r="AP2" s="99"/>
      <c r="AQ2" s="99"/>
      <c r="AR2" s="99"/>
      <c r="AS2" s="99"/>
      <c r="AT2" s="99"/>
      <c r="AU2" s="99"/>
      <c r="AV2" s="99"/>
      <c r="AW2" s="99"/>
      <c r="AX2" s="99"/>
      <c r="AY2" s="99"/>
      <c r="AZ2" s="99"/>
      <c r="BA2" s="100"/>
      <c r="BB2" s="98" t="s">
        <v>99</v>
      </c>
      <c r="BC2" s="99"/>
      <c r="BD2" s="99"/>
      <c r="BE2" s="99"/>
      <c r="BF2" s="99"/>
      <c r="BG2" s="99"/>
      <c r="BH2" s="99"/>
      <c r="BI2" s="99"/>
      <c r="BJ2" s="99"/>
      <c r="BK2" s="100"/>
    </row>
    <row r="3" spans="1:63" x14ac:dyDescent="0.25">
      <c r="A3" s="97"/>
      <c r="B3" t="s">
        <v>20</v>
      </c>
      <c r="D3">
        <v>0</v>
      </c>
      <c r="E3">
        <v>1</v>
      </c>
      <c r="F3">
        <v>2</v>
      </c>
      <c r="G3">
        <v>3</v>
      </c>
      <c r="H3">
        <v>4</v>
      </c>
      <c r="I3">
        <v>5</v>
      </c>
      <c r="J3">
        <v>6</v>
      </c>
      <c r="K3">
        <v>7</v>
      </c>
      <c r="L3">
        <v>8</v>
      </c>
      <c r="M3">
        <v>9</v>
      </c>
      <c r="N3">
        <v>10</v>
      </c>
      <c r="O3">
        <v>11</v>
      </c>
      <c r="P3">
        <v>12</v>
      </c>
      <c r="Q3">
        <v>13</v>
      </c>
      <c r="R3">
        <v>14</v>
      </c>
      <c r="S3">
        <v>15</v>
      </c>
      <c r="T3">
        <v>16</v>
      </c>
      <c r="U3">
        <v>17</v>
      </c>
      <c r="V3">
        <v>18</v>
      </c>
      <c r="W3">
        <v>19</v>
      </c>
      <c r="X3">
        <v>20</v>
      </c>
      <c r="Y3">
        <v>21</v>
      </c>
      <c r="Z3">
        <v>22</v>
      </c>
      <c r="AA3">
        <v>23</v>
      </c>
      <c r="AB3">
        <v>24</v>
      </c>
      <c r="AC3">
        <v>25</v>
      </c>
      <c r="AD3">
        <v>26</v>
      </c>
      <c r="AE3">
        <v>27</v>
      </c>
      <c r="AF3">
        <v>28</v>
      </c>
      <c r="AG3">
        <v>29</v>
      </c>
      <c r="AH3">
        <v>30</v>
      </c>
      <c r="AI3">
        <v>31</v>
      </c>
      <c r="AJ3">
        <v>32</v>
      </c>
      <c r="AK3">
        <v>33</v>
      </c>
      <c r="AL3">
        <v>34</v>
      </c>
      <c r="AM3">
        <v>35</v>
      </c>
      <c r="AN3">
        <v>36</v>
      </c>
      <c r="AO3">
        <v>37</v>
      </c>
      <c r="AP3">
        <v>38</v>
      </c>
      <c r="AQ3">
        <v>39</v>
      </c>
      <c r="AR3">
        <v>40</v>
      </c>
      <c r="AS3">
        <v>41</v>
      </c>
      <c r="AT3">
        <v>42</v>
      </c>
      <c r="AU3">
        <v>43</v>
      </c>
      <c r="AV3">
        <v>44</v>
      </c>
      <c r="AW3">
        <v>45</v>
      </c>
      <c r="AX3">
        <v>46</v>
      </c>
      <c r="AY3">
        <v>47</v>
      </c>
      <c r="AZ3">
        <v>48</v>
      </c>
      <c r="BA3">
        <v>49</v>
      </c>
      <c r="BB3">
        <v>0</v>
      </c>
      <c r="BC3">
        <v>1</v>
      </c>
      <c r="BD3">
        <v>2</v>
      </c>
      <c r="BE3">
        <v>3</v>
      </c>
      <c r="BF3">
        <v>4</v>
      </c>
      <c r="BG3">
        <v>5</v>
      </c>
      <c r="BH3">
        <v>6</v>
      </c>
      <c r="BI3">
        <v>7</v>
      </c>
      <c r="BJ3">
        <v>8</v>
      </c>
      <c r="BK3">
        <v>9</v>
      </c>
    </row>
    <row r="4" spans="1:63" x14ac:dyDescent="0.25">
      <c r="A4" s="97"/>
      <c r="B4" t="s">
        <v>21</v>
      </c>
      <c r="D4" s="43">
        <v>0</v>
      </c>
      <c r="E4" s="43">
        <v>1</v>
      </c>
      <c r="F4" s="43">
        <v>2</v>
      </c>
      <c r="G4" s="43">
        <v>3</v>
      </c>
      <c r="H4" s="43">
        <v>4</v>
      </c>
      <c r="I4" s="43">
        <v>5</v>
      </c>
      <c r="J4" s="43">
        <v>6</v>
      </c>
      <c r="K4" s="43">
        <v>7</v>
      </c>
      <c r="L4" s="43">
        <v>8</v>
      </c>
      <c r="M4" s="43">
        <v>9</v>
      </c>
      <c r="N4" s="43">
        <v>10</v>
      </c>
      <c r="O4" s="43">
        <v>11</v>
      </c>
      <c r="P4" s="43">
        <v>12</v>
      </c>
      <c r="Q4" s="43">
        <v>13</v>
      </c>
      <c r="R4" s="43">
        <v>14</v>
      </c>
      <c r="S4" s="43">
        <v>15</v>
      </c>
      <c r="T4" s="43">
        <v>16</v>
      </c>
      <c r="U4" s="43">
        <v>17</v>
      </c>
      <c r="V4" s="43">
        <v>18</v>
      </c>
      <c r="W4" s="43">
        <v>19</v>
      </c>
      <c r="X4" s="43">
        <v>20</v>
      </c>
      <c r="Y4" s="43">
        <v>21</v>
      </c>
      <c r="Z4" s="43">
        <v>22</v>
      </c>
      <c r="AA4" s="43">
        <v>23</v>
      </c>
      <c r="AB4" s="43">
        <v>24</v>
      </c>
      <c r="AC4" s="43">
        <v>25</v>
      </c>
      <c r="AD4" s="43">
        <v>26</v>
      </c>
      <c r="AE4" s="43">
        <v>27</v>
      </c>
      <c r="AF4" s="43">
        <v>28</v>
      </c>
      <c r="AG4" s="43">
        <v>29</v>
      </c>
      <c r="AH4" s="43">
        <v>30</v>
      </c>
      <c r="AI4" s="43">
        <v>31</v>
      </c>
      <c r="AJ4" s="43">
        <v>32</v>
      </c>
      <c r="AK4" s="43">
        <v>33</v>
      </c>
      <c r="AL4" s="43">
        <v>34</v>
      </c>
      <c r="AM4" s="43">
        <v>35</v>
      </c>
      <c r="AN4" s="43">
        <v>36</v>
      </c>
      <c r="AO4" s="43">
        <v>37</v>
      </c>
      <c r="AP4" s="43">
        <v>38</v>
      </c>
      <c r="AQ4" s="43">
        <v>39</v>
      </c>
      <c r="AR4" s="43">
        <v>40</v>
      </c>
      <c r="AS4" s="43">
        <v>41</v>
      </c>
      <c r="AT4" s="43">
        <v>42</v>
      </c>
      <c r="AU4" s="43">
        <v>43</v>
      </c>
      <c r="AV4" s="43">
        <v>44</v>
      </c>
      <c r="AW4" s="43">
        <v>45</v>
      </c>
      <c r="AX4" s="43">
        <v>46</v>
      </c>
      <c r="AY4" s="43">
        <v>47</v>
      </c>
      <c r="AZ4" s="5">
        <v>48</v>
      </c>
      <c r="BA4" s="8">
        <v>49</v>
      </c>
      <c r="BB4" s="43">
        <v>50</v>
      </c>
      <c r="BC4" s="43">
        <v>51</v>
      </c>
      <c r="BD4" s="43">
        <v>52</v>
      </c>
      <c r="BE4" s="43">
        <v>53</v>
      </c>
      <c r="BF4" s="43">
        <v>54</v>
      </c>
      <c r="BG4" s="43">
        <v>55</v>
      </c>
      <c r="BH4" s="43">
        <v>56</v>
      </c>
      <c r="BI4" s="43">
        <v>57</v>
      </c>
      <c r="BJ4" s="43">
        <v>58</v>
      </c>
      <c r="BK4" s="43">
        <v>59</v>
      </c>
    </row>
    <row r="5" spans="1:63" x14ac:dyDescent="0.25">
      <c r="A5" s="97"/>
      <c r="B5" t="s">
        <v>98</v>
      </c>
      <c r="D5">
        <f>IF(AND(COUNTIF($D$6:$D$12,"P")=1,COUNTIF($D$6:$D$12,"B")=DTKA_FEC_OVERLAP),1,0)</f>
        <v>1</v>
      </c>
      <c r="E5">
        <f>IF(AND(COUNTIF($E$6:$E$12,"P")=1,COUNTIF($E$6:$E$12,"B")=DTKA_FEC_OVERLAP),1,0)</f>
        <v>1</v>
      </c>
      <c r="F5">
        <f>IF(AND(COUNTIF($F$6:$F$12,"P")=1,COUNTIF($F$6:$F$12,"B")=DTKA_FEC_OVERLAP),1,0)</f>
        <v>1</v>
      </c>
      <c r="G5">
        <f>IF(AND(COUNTIF($G$6:$G$12,"P")=1,COUNTIF($G$6:$G$12,"B")=DTKA_FEC_OVERLAP),1,0)</f>
        <v>1</v>
      </c>
      <c r="H5">
        <f>IF(AND(COUNTIF($H$6:$H$12,"P")=1,COUNTIF($H$6:$H$12,"B")=DTKA_FEC_OVERLAP),1,0)</f>
        <v>1</v>
      </c>
      <c r="I5">
        <f>IF(AND(COUNTIF($I$6:$I$12,"P")=1,COUNTIF($I$6:$I$12,"B")=DTKA_FEC_OVERLAP),1,0)</f>
        <v>1</v>
      </c>
      <c r="J5">
        <f>IF(AND(COUNTIF($J$6:$J$12,"P")=1,COUNTIF($J$6:$J$12,"B")=DTKA_FEC_OVERLAP),1,0)</f>
        <v>1</v>
      </c>
      <c r="K5">
        <f>IF(AND(COUNTIF($K$6:$K$12,"P")=1,COUNTIF($K$6:$K$12,"B")=DTKA_FEC_OVERLAP),1,0)</f>
        <v>1</v>
      </c>
      <c r="L5">
        <f>IF(AND(COUNTIF($L$6:$L$12,"P")=1,COUNTIF($L$6:$L$12,"B")=DTKA_FEC_OVERLAP),1,0)</f>
        <v>1</v>
      </c>
      <c r="M5">
        <f>IF(AND(COUNTIF($M$6:$M$12,"P")=1,COUNTIF($M$6:$M$12,"B")=DTKA_FEC_OVERLAP),1,0)</f>
        <v>1</v>
      </c>
      <c r="N5">
        <f>IF(AND(COUNTIF($N$6:$N$12,"P")=1,COUNTIF($N$6:$N$12,"B")=DTKA_FEC_OVERLAP),1,0)</f>
        <v>1</v>
      </c>
      <c r="O5">
        <f>IF(AND(COUNTIF($O$6:$O$12,"P")=1,COUNTIF($O$6:$O$12,"B")=DTKA_FEC_OVERLAP),1,0)</f>
        <v>1</v>
      </c>
      <c r="P5">
        <f>IF(AND(COUNTIF($P$6:$P$12,"P")=1,COUNTIF($P$6:$P$12,"B")=DTKA_FEC_OVERLAP),1,0)</f>
        <v>1</v>
      </c>
      <c r="Q5">
        <f>IF(AND(COUNTIF($Q$6:$Q$12,"P")=1,COUNTIF($Q$6:$Q$12,"B")=DTKA_FEC_OVERLAP),1,0)</f>
        <v>1</v>
      </c>
      <c r="R5">
        <f>IF(AND(COUNTIF($R$6:$R$12,"P")=1,COUNTIF($R$6:$R$12,"B")=DTKA_FEC_OVERLAP),1,0)</f>
        <v>1</v>
      </c>
      <c r="S5">
        <f>IF(AND(COUNTIF($S$6:$S$12,"P")=1,COUNTIF($S$6:$S$12,"B")=DTKA_FEC_OVERLAP),1,0)</f>
        <v>1</v>
      </c>
      <c r="T5">
        <f>IF(AND(COUNTIF($T$6:$T$12,"P")=1,COUNTIF($T$6:$T$12,"B")=DTKA_FEC_OVERLAP),1,0)</f>
        <v>1</v>
      </c>
      <c r="U5">
        <f>IF(AND(COUNTIF($U$6:$U$12,"P")=1,COUNTIF($U$6:$U$12,"B")=DTKA_FEC_OVERLAP),1,0)</f>
        <v>1</v>
      </c>
      <c r="V5">
        <f>IF(AND(COUNTIF($V$6:$V$12,"P")=1,COUNTIF($V$6:$V$12,"B")=DTKA_FEC_OVERLAP),1,0)</f>
        <v>1</v>
      </c>
      <c r="W5">
        <f>IF(AND(COUNTIF($W$6:$W$12,"P")=1,COUNTIF($W$6:$W$12,"B")=DTKA_FEC_OVERLAP),1,0)</f>
        <v>1</v>
      </c>
      <c r="X5">
        <f>IF(AND(COUNTIF($X$6:$X$12,"P")=1,COUNTIF($X$6:$X$12,"B")=DTKA_FEC_OVERLAP),1,0)</f>
        <v>1</v>
      </c>
      <c r="Y5">
        <f>IF(AND(COUNTIF($Y$6:$Y$12,"P")=1,COUNTIF($Y$6:$Y$12,"B")=DTKA_FEC_OVERLAP),1,0)</f>
        <v>1</v>
      </c>
      <c r="Z5">
        <f>IF(AND(COUNTIF($Z$6:$Z$12,"P")=1,COUNTIF($Z$6:$Z$12,"B")=DTKA_FEC_OVERLAP),1,0)</f>
        <v>1</v>
      </c>
      <c r="AA5">
        <f>IF(AND(COUNTIF($AA$6:$AA$12,"P")=1,COUNTIF($AA$6:$AA$12,"B")=DTKA_FEC_OVERLAP),1,0)</f>
        <v>1</v>
      </c>
      <c r="AB5">
        <f>IF(AND(COUNTIF($AB$6:$AB$12,"P")=1,COUNTIF($AB$6:$AB$12,"B")=DTKA_FEC_OVERLAP),1,0)</f>
        <v>1</v>
      </c>
      <c r="AC5">
        <f>IF(AND(COUNTIF($AC$6:$AC$12,"P")=1,COUNTIF($AC$6:$AC$12,"B")=DTKA_FEC_OVERLAP),1,0)</f>
        <v>1</v>
      </c>
      <c r="AD5">
        <f>IF(AND(COUNTIF($AD$6:$AD$12,"P")=1,COUNTIF($AD$6:$AD$12,"B")=DTKA_FEC_OVERLAP),1,0)</f>
        <v>1</v>
      </c>
      <c r="AE5">
        <f>IF(AND(COUNTIF($AE$6:$AE$12,"P")=1,COUNTIF($AE$6:$AE$12,"B")=DTKA_FEC_OVERLAP),1,0)</f>
        <v>1</v>
      </c>
      <c r="AF5">
        <f>IF(AND(COUNTIF($AF$6:$AF$12,"P")=1,COUNTIF($AF$6:$AF$12,"B")=DTKA_FEC_OVERLAP),1,0)</f>
        <v>1</v>
      </c>
      <c r="AG5">
        <f>IF(AND(COUNTIF($AG$6:$AG$12,"P")=1,COUNTIF($AG$6:$AG$12,"B")=DTKA_FEC_OVERLAP),1,0)</f>
        <v>1</v>
      </c>
      <c r="AH5">
        <f>IF(AND(COUNTIF($AH$6:$AH$12,"P")=1,COUNTIF($AH$6:$AH$12,"B")=DTKA_FEC_OVERLAP),1,0)</f>
        <v>1</v>
      </c>
      <c r="AI5">
        <f>IF(AND(COUNTIF($AI$6:$AI$12,"P")=1,COUNTIF($AI$6:$AI$12,"B")=DTKA_FEC_OVERLAP),1,0)</f>
        <v>1</v>
      </c>
      <c r="AJ5">
        <f>IF(AND(COUNTIF($AJ$6:$AJ$12,"P")=1,COUNTIF($AJ$6:$AJ$12,"B")=DTKA_FEC_OVERLAP),1,0)</f>
        <v>1</v>
      </c>
      <c r="AK5">
        <f>IF(AND(COUNTIF($AK$6:$AK$12,"P")=1,COUNTIF($AK$6:$AK$12,"B")=DTKA_FEC_OVERLAP),1,0)</f>
        <v>1</v>
      </c>
      <c r="AL5">
        <f>IF(AND(COUNTIF($AL$6:$AL$12,"P")=1,COUNTIF($AL$6:$AL$12,"B")=DTKA_FEC_OVERLAP),1,0)</f>
        <v>1</v>
      </c>
      <c r="AM5">
        <f>IF(AND(COUNTIF($AM$6:$AM$12,"P")=1,COUNTIF($AM$6:$AM$12,"B")=DTKA_FEC_OVERLAP),1,0)</f>
        <v>1</v>
      </c>
      <c r="AN5">
        <f>IF(AND(COUNTIF($AN$6:$AN$12,"P")=1,COUNTIF($AN$6:$AN$12,"B")=DTKA_FEC_OVERLAP),1,0)</f>
        <v>1</v>
      </c>
      <c r="AO5">
        <f>IF(AND(COUNTIF($AO$6:$AO$12,"P")=1,COUNTIF($AO$6:$AO$12,"B")=DTKA_FEC_OVERLAP),1,0)</f>
        <v>1</v>
      </c>
      <c r="AP5">
        <f>IF(AND(COUNTIF($AP$6:$AP$12,"P")=1,COUNTIF($AP$6:$AP$12,"B")=DTKA_FEC_OVERLAP),1,0)</f>
        <v>1</v>
      </c>
      <c r="AQ5">
        <f>IF(AND(COUNTIF($AQ$6:$AQ$12,"P")=1,COUNTIF($AQ$6:$AQ$12,"B")=DTKA_FEC_OVERLAP),1,0)</f>
        <v>1</v>
      </c>
      <c r="AR5">
        <f>IF(AND(COUNTIF($AR$6:$AR$12,"P")=1,COUNTIF($AR$6:$AR$12,"B")=DTKA_FEC_OVERLAP),1,0)</f>
        <v>1</v>
      </c>
      <c r="AS5">
        <f>IF(AND(COUNTIF($AS$6:$AS$12,"P")=1,COUNTIF($AS$6:$AS$12,"B")=DTKA_FEC_OVERLAP),1,0)</f>
        <v>1</v>
      </c>
      <c r="AT5">
        <f>IF(AND(COUNTIF($AT$6:$AT$12,"P")=1,COUNTIF($AT$6:$AT$12,"B")=DTKA_FEC_OVERLAP),1,0)</f>
        <v>1</v>
      </c>
      <c r="AU5">
        <f>IF(AND(COUNTIF($AU$6:$AU$12,"P")=1,COUNTIF($AU$6:$AU$12,"B")=DTKA_FEC_OVERLAP),1,0)</f>
        <v>1</v>
      </c>
      <c r="AV5">
        <f>IF(AND(COUNTIF($AV$6:$AV$12,"P")=1,COUNTIF($AV$6:$AV$12,"B")=DTKA_FEC_OVERLAP),1,0)</f>
        <v>1</v>
      </c>
      <c r="AW5">
        <f>IF(AND(COUNTIF($AW$6:$AW$12,"P")=1,COUNTIF($AW$6:$AW$12,"B")=DTKA_FEC_OVERLAP),1,0)</f>
        <v>1</v>
      </c>
      <c r="AX5">
        <f>IF(AND(COUNTIF($AX$6:$AX$12,"P")=1,COUNTIF($AX$6:$AX$12,"B")=DTKA_FEC_OVERLAP),1,0)</f>
        <v>1</v>
      </c>
      <c r="AY5">
        <f>IF(AND(COUNTIF($AY$6:$AY$12,"P")=1,COUNTIF($AY$6:$AY$12,"B")=DTKA_FEC_OVERLAP),1,0)</f>
        <v>1</v>
      </c>
      <c r="AZ5" s="6">
        <f>IF(AND(COUNTIF($AZ$6:$AZ$12,"P")=1,COUNTIF($AZ$6:$AZ$12,"B")=DTKA_FEC_OVERLAP),1,0)</f>
        <v>1</v>
      </c>
      <c r="BA5" s="9">
        <f>IF(AND(COUNTIF($BA$6:$BA$12,"P")=1,COUNTIF($BA$6:$BA$12,"B")=DTKA_FEC_OVERLAP),1,0)</f>
        <v>1</v>
      </c>
      <c r="BB5">
        <f>IF(AND(COUNTIF($BB$6:$BB$12,"P")=1,COUNTIF($BB$6:$BB$12,"B")=DTKA_FEC_OVERLAP),1,0)</f>
        <v>1</v>
      </c>
      <c r="BC5">
        <f>IF(AND(COUNTIF($BC$6:$BC$12,"P")=1,COUNTIF($BC$6:$BC$12,"B")=DTKA_FEC_OVERLAP),1,0)</f>
        <v>1</v>
      </c>
      <c r="BD5">
        <f>IF(AND(COUNTIF($BD$6:$BD$12,"P")=1,COUNTIF($BD$6:$BD$12,"B")=DTKA_FEC_OVERLAP),1,0)</f>
        <v>1</v>
      </c>
      <c r="BE5">
        <f>IF(AND(COUNTIF($BE$6:$BE$12,"P")=1,COUNTIF($BE$6:$BE$12,"B")=DTKA_FEC_OVERLAP),1,0)</f>
        <v>1</v>
      </c>
      <c r="BF5">
        <f>IF(AND(COUNTIF($BF$6:$BF$12,"P")=1,COUNTIF($BF$6:$BF$12,"B")=DTKA_FEC_OVERLAP),1,0)</f>
        <v>1</v>
      </c>
      <c r="BG5">
        <f>IF(AND(COUNTIF($BG$6:$BG$12,"P")=1,COUNTIF($BG$6:$BG$12,"B")=DTKA_FEC_OVERLAP),1,0)</f>
        <v>1</v>
      </c>
      <c r="BH5">
        <f>IF(AND(COUNTIF($BH$6:$BH$12,"P")=1,COUNTIF($BH$6:$BH$12,"B")=DTKA_FEC_OVERLAP),1,0)</f>
        <v>1</v>
      </c>
      <c r="BI5">
        <f>IF(AND(COUNTIF($BI$6:$BI$12,"P")=1,COUNTIF($BI$6:$BI$12,"B")=DTKA_FEC_OVERLAP),1,0)</f>
        <v>1</v>
      </c>
      <c r="BJ5">
        <f>IF(AND(COUNTIF($BJ$6:$BJ$12,"P")=1,COUNTIF($BJ$6:$BJ$12,"B")=DTKA_FEC_OVERLAP),1,0)</f>
        <v>1</v>
      </c>
      <c r="BK5">
        <f>IF(AND(COUNTIF($BK$6:$BK$12,"P")=1,COUNTIF($BK$6:$BK$12,"B")=DTKA_FEC_OVERLAP),1,0)</f>
        <v>1</v>
      </c>
    </row>
    <row r="6" spans="1:63" x14ac:dyDescent="0.25">
      <c r="A6" s="97"/>
      <c r="B6" t="s">
        <v>22</v>
      </c>
      <c r="C6" t="s">
        <v>24</v>
      </c>
      <c r="D6" t="str">
        <f t="shared" ref="D6:M6" si="0">IF($C$6="running","P","")</f>
        <v>P</v>
      </c>
      <c r="E6" t="str">
        <f t="shared" si="0"/>
        <v>P</v>
      </c>
      <c r="F6" t="str">
        <f t="shared" si="0"/>
        <v>P</v>
      </c>
      <c r="G6" t="str">
        <f t="shared" si="0"/>
        <v>P</v>
      </c>
      <c r="H6" t="str">
        <f t="shared" si="0"/>
        <v>P</v>
      </c>
      <c r="I6" t="str">
        <f t="shared" si="0"/>
        <v>P</v>
      </c>
      <c r="J6" t="str">
        <f t="shared" si="0"/>
        <v>P</v>
      </c>
      <c r="K6" t="str">
        <f t="shared" si="0"/>
        <v>P</v>
      </c>
      <c r="L6" t="str">
        <f t="shared" si="0"/>
        <v>P</v>
      </c>
      <c r="M6" t="str">
        <f t="shared" si="0"/>
        <v>P</v>
      </c>
      <c r="N6" t="str">
        <f t="shared" ref="N6:W6" si="1">IF($C$6="running","B","")</f>
        <v>B</v>
      </c>
      <c r="O6" t="str">
        <f t="shared" si="1"/>
        <v>B</v>
      </c>
      <c r="P6" t="str">
        <f t="shared" si="1"/>
        <v>B</v>
      </c>
      <c r="Q6" t="str">
        <f t="shared" si="1"/>
        <v>B</v>
      </c>
      <c r="R6" t="str">
        <f t="shared" si="1"/>
        <v>B</v>
      </c>
      <c r="S6" t="str">
        <f t="shared" si="1"/>
        <v>B</v>
      </c>
      <c r="T6" t="str">
        <f t="shared" si="1"/>
        <v>B</v>
      </c>
      <c r="U6" t="str">
        <f t="shared" si="1"/>
        <v>B</v>
      </c>
      <c r="V6" t="str">
        <f t="shared" si="1"/>
        <v>B</v>
      </c>
      <c r="W6" t="str">
        <f t="shared" si="1"/>
        <v>B</v>
      </c>
      <c r="AZ6" s="6"/>
      <c r="BA6" s="9"/>
    </row>
    <row r="7" spans="1:63" x14ac:dyDescent="0.25">
      <c r="A7" s="97"/>
      <c r="B7" t="s">
        <v>23</v>
      </c>
      <c r="C7" t="s">
        <v>24</v>
      </c>
      <c r="N7" t="str">
        <f t="shared" ref="N7:W7" si="2">IF($C$7="running","P","")</f>
        <v>P</v>
      </c>
      <c r="O7" t="str">
        <f t="shared" si="2"/>
        <v>P</v>
      </c>
      <c r="P7" t="str">
        <f t="shared" si="2"/>
        <v>P</v>
      </c>
      <c r="Q7" t="str">
        <f t="shared" si="2"/>
        <v>P</v>
      </c>
      <c r="R7" t="str">
        <f t="shared" si="2"/>
        <v>P</v>
      </c>
      <c r="S7" t="str">
        <f t="shared" si="2"/>
        <v>P</v>
      </c>
      <c r="T7" t="str">
        <f t="shared" si="2"/>
        <v>P</v>
      </c>
      <c r="U7" t="str">
        <f t="shared" si="2"/>
        <v>P</v>
      </c>
      <c r="V7" t="str">
        <f t="shared" si="2"/>
        <v>P</v>
      </c>
      <c r="W7" t="str">
        <f t="shared" si="2"/>
        <v>P</v>
      </c>
      <c r="X7" t="str">
        <f t="shared" ref="X7:AG7" si="3">IF($C$7="running","B","")</f>
        <v>B</v>
      </c>
      <c r="Y7" t="str">
        <f t="shared" si="3"/>
        <v>B</v>
      </c>
      <c r="Z7" t="str">
        <f t="shared" si="3"/>
        <v>B</v>
      </c>
      <c r="AA7" t="str">
        <f t="shared" si="3"/>
        <v>B</v>
      </c>
      <c r="AB7" t="str">
        <f t="shared" si="3"/>
        <v>B</v>
      </c>
      <c r="AC7" t="str">
        <f t="shared" si="3"/>
        <v>B</v>
      </c>
      <c r="AD7" t="str">
        <f t="shared" si="3"/>
        <v>B</v>
      </c>
      <c r="AE7" t="str">
        <f t="shared" si="3"/>
        <v>B</v>
      </c>
      <c r="AF7" t="str">
        <f t="shared" si="3"/>
        <v>B</v>
      </c>
      <c r="AG7" t="str">
        <f t="shared" si="3"/>
        <v>B</v>
      </c>
      <c r="AZ7" s="6"/>
      <c r="BA7" s="9"/>
    </row>
    <row r="8" spans="1:63" x14ac:dyDescent="0.25">
      <c r="A8" s="97"/>
      <c r="B8" t="s">
        <v>94</v>
      </c>
      <c r="C8" t="s">
        <v>24</v>
      </c>
      <c r="X8" t="str">
        <f t="shared" ref="X8:AG8" si="4">IF($C$8="running","P","")</f>
        <v>P</v>
      </c>
      <c r="Y8" t="str">
        <f t="shared" si="4"/>
        <v>P</v>
      </c>
      <c r="Z8" t="str">
        <f t="shared" si="4"/>
        <v>P</v>
      </c>
      <c r="AA8" t="str">
        <f t="shared" si="4"/>
        <v>P</v>
      </c>
      <c r="AB8" t="str">
        <f t="shared" si="4"/>
        <v>P</v>
      </c>
      <c r="AC8" t="str">
        <f t="shared" si="4"/>
        <v>P</v>
      </c>
      <c r="AD8" t="str">
        <f t="shared" si="4"/>
        <v>P</v>
      </c>
      <c r="AE8" t="str">
        <f t="shared" si="4"/>
        <v>P</v>
      </c>
      <c r="AF8" t="str">
        <f t="shared" si="4"/>
        <v>P</v>
      </c>
      <c r="AG8" t="str">
        <f t="shared" si="4"/>
        <v>P</v>
      </c>
      <c r="AH8" t="str">
        <f t="shared" ref="AH8:AQ8" si="5">IF($C$8="running","B","")</f>
        <v>B</v>
      </c>
      <c r="AI8" t="str">
        <f t="shared" si="5"/>
        <v>B</v>
      </c>
      <c r="AJ8" t="str">
        <f t="shared" si="5"/>
        <v>B</v>
      </c>
      <c r="AK8" t="str">
        <f t="shared" si="5"/>
        <v>B</v>
      </c>
      <c r="AL8" t="str">
        <f t="shared" si="5"/>
        <v>B</v>
      </c>
      <c r="AM8" t="str">
        <f t="shared" si="5"/>
        <v>B</v>
      </c>
      <c r="AN8" t="str">
        <f t="shared" si="5"/>
        <v>B</v>
      </c>
      <c r="AO8" t="str">
        <f t="shared" si="5"/>
        <v>B</v>
      </c>
      <c r="AP8" t="str">
        <f t="shared" si="5"/>
        <v>B</v>
      </c>
      <c r="AQ8" t="str">
        <f t="shared" si="5"/>
        <v>B</v>
      </c>
      <c r="AZ8" s="6"/>
      <c r="BA8" s="9"/>
    </row>
    <row r="9" spans="1:63" x14ac:dyDescent="0.25">
      <c r="A9" s="97"/>
      <c r="B9" t="s">
        <v>95</v>
      </c>
      <c r="C9" t="s">
        <v>24</v>
      </c>
      <c r="AH9" t="str">
        <f t="shared" ref="AH9:AQ9" si="6">IF($C$9="running","P","")</f>
        <v>P</v>
      </c>
      <c r="AI9" t="str">
        <f t="shared" si="6"/>
        <v>P</v>
      </c>
      <c r="AJ9" t="str">
        <f t="shared" si="6"/>
        <v>P</v>
      </c>
      <c r="AK9" t="str">
        <f t="shared" si="6"/>
        <v>P</v>
      </c>
      <c r="AL9" t="str">
        <f t="shared" si="6"/>
        <v>P</v>
      </c>
      <c r="AM9" t="str">
        <f t="shared" si="6"/>
        <v>P</v>
      </c>
      <c r="AN9" t="str">
        <f t="shared" si="6"/>
        <v>P</v>
      </c>
      <c r="AO9" t="str">
        <f t="shared" si="6"/>
        <v>P</v>
      </c>
      <c r="AP9" t="str">
        <f t="shared" si="6"/>
        <v>P</v>
      </c>
      <c r="AQ9" t="str">
        <f t="shared" si="6"/>
        <v>P</v>
      </c>
      <c r="AR9" t="str">
        <f t="shared" ref="AR9:BA9" si="7">IF($C$9="running","B","")</f>
        <v>B</v>
      </c>
      <c r="AS9" t="str">
        <f t="shared" si="7"/>
        <v>B</v>
      </c>
      <c r="AT9" t="str">
        <f t="shared" si="7"/>
        <v>B</v>
      </c>
      <c r="AU9" t="str">
        <f t="shared" si="7"/>
        <v>B</v>
      </c>
      <c r="AV9" t="str">
        <f t="shared" si="7"/>
        <v>B</v>
      </c>
      <c r="AW9" t="str">
        <f t="shared" si="7"/>
        <v>B</v>
      </c>
      <c r="AX9" t="str">
        <f t="shared" si="7"/>
        <v>B</v>
      </c>
      <c r="AY9" t="str">
        <f t="shared" si="7"/>
        <v>B</v>
      </c>
      <c r="AZ9" s="6" t="str">
        <f t="shared" si="7"/>
        <v>B</v>
      </c>
      <c r="BA9" s="9" t="str">
        <f t="shared" si="7"/>
        <v>B</v>
      </c>
    </row>
    <row r="10" spans="1:63" x14ac:dyDescent="0.25">
      <c r="A10" s="97"/>
      <c r="B10" t="s">
        <v>96</v>
      </c>
      <c r="C10" t="s">
        <v>24</v>
      </c>
      <c r="AR10" t="str">
        <f t="shared" ref="AR10:BA10" si="8">IF($C$10="running","P","")</f>
        <v>P</v>
      </c>
      <c r="AS10" t="str">
        <f t="shared" si="8"/>
        <v>P</v>
      </c>
      <c r="AT10" t="str">
        <f t="shared" si="8"/>
        <v>P</v>
      </c>
      <c r="AU10" t="str">
        <f t="shared" si="8"/>
        <v>P</v>
      </c>
      <c r="AV10" t="str">
        <f t="shared" si="8"/>
        <v>P</v>
      </c>
      <c r="AW10" t="str">
        <f t="shared" si="8"/>
        <v>P</v>
      </c>
      <c r="AX10" t="str">
        <f t="shared" si="8"/>
        <v>P</v>
      </c>
      <c r="AY10" t="str">
        <f t="shared" si="8"/>
        <v>P</v>
      </c>
      <c r="AZ10" s="6" t="str">
        <f t="shared" si="8"/>
        <v>P</v>
      </c>
      <c r="BA10" s="9" t="str">
        <f t="shared" si="8"/>
        <v>P</v>
      </c>
      <c r="BB10" t="str">
        <f t="shared" ref="BB10:BK10" si="9">IF($C$10="running","B","")</f>
        <v>B</v>
      </c>
      <c r="BC10" t="str">
        <f t="shared" si="9"/>
        <v>B</v>
      </c>
      <c r="BD10" t="str">
        <f t="shared" si="9"/>
        <v>B</v>
      </c>
      <c r="BE10" t="str">
        <f t="shared" si="9"/>
        <v>B</v>
      </c>
      <c r="BF10" t="str">
        <f t="shared" si="9"/>
        <v>B</v>
      </c>
      <c r="BG10" t="str">
        <f t="shared" si="9"/>
        <v>B</v>
      </c>
      <c r="BH10" t="str">
        <f t="shared" si="9"/>
        <v>B</v>
      </c>
      <c r="BI10" t="str">
        <f t="shared" si="9"/>
        <v>B</v>
      </c>
      <c r="BJ10" t="str">
        <f t="shared" si="9"/>
        <v>B</v>
      </c>
      <c r="BK10" t="str">
        <f t="shared" si="9"/>
        <v>B</v>
      </c>
    </row>
    <row r="11" spans="1:63" x14ac:dyDescent="0.25">
      <c r="A11" s="97"/>
      <c r="B11" t="s">
        <v>97</v>
      </c>
      <c r="C11" t="s">
        <v>24</v>
      </c>
      <c r="D11" t="str">
        <f t="shared" ref="D11:M11" si="10">IF($C$11="running","B","")</f>
        <v>B</v>
      </c>
      <c r="E11" t="str">
        <f t="shared" si="10"/>
        <v>B</v>
      </c>
      <c r="F11" t="str">
        <f t="shared" si="10"/>
        <v>B</v>
      </c>
      <c r="G11" t="str">
        <f t="shared" si="10"/>
        <v>B</v>
      </c>
      <c r="H11" t="str">
        <f t="shared" si="10"/>
        <v>B</v>
      </c>
      <c r="I11" t="str">
        <f t="shared" si="10"/>
        <v>B</v>
      </c>
      <c r="J11" t="str">
        <f t="shared" si="10"/>
        <v>B</v>
      </c>
      <c r="K11" t="str">
        <f t="shared" si="10"/>
        <v>B</v>
      </c>
      <c r="L11" t="str">
        <f t="shared" si="10"/>
        <v>B</v>
      </c>
      <c r="M11" t="str">
        <f t="shared" si="10"/>
        <v>B</v>
      </c>
      <c r="AZ11" s="6"/>
      <c r="BA11" s="9"/>
      <c r="BB11" t="str">
        <f t="shared" ref="BB11:BK11" si="11">IF($C$11="running","P","")</f>
        <v>P</v>
      </c>
      <c r="BC11" t="str">
        <f t="shared" si="11"/>
        <v>P</v>
      </c>
      <c r="BD11" t="str">
        <f t="shared" si="11"/>
        <v>P</v>
      </c>
      <c r="BE11" t="str">
        <f t="shared" si="11"/>
        <v>P</v>
      </c>
      <c r="BF11" t="str">
        <f t="shared" si="11"/>
        <v>P</v>
      </c>
      <c r="BG11" t="str">
        <f t="shared" si="11"/>
        <v>P</v>
      </c>
      <c r="BH11" t="str">
        <f t="shared" si="11"/>
        <v>P</v>
      </c>
      <c r="BI11" t="str">
        <f t="shared" si="11"/>
        <v>P</v>
      </c>
      <c r="BJ11" t="str">
        <f t="shared" si="11"/>
        <v>P</v>
      </c>
      <c r="BK11" t="str">
        <f t="shared" si="11"/>
        <v>P</v>
      </c>
    </row>
    <row r="12" spans="1:63" x14ac:dyDescent="0.25">
      <c r="A12" s="97"/>
      <c r="B12" s="101" t="s">
        <v>25</v>
      </c>
      <c r="C12" s="3">
        <f>SUM($D$12:$BK$12)</f>
        <v>60</v>
      </c>
      <c r="D12">
        <f>IF(COUNTBLANK($D$6:$D$11)=6,0,1)</f>
        <v>1</v>
      </c>
      <c r="E12">
        <f>IF(COUNTBLANK($E$6:$E$11)=6,0,1)</f>
        <v>1</v>
      </c>
      <c r="F12">
        <f>IF(COUNTBLANK($F$6:$F$11)=6,0,1)</f>
        <v>1</v>
      </c>
      <c r="G12">
        <f>IF(COUNTBLANK($G$6:$G$11)=6,0,1)</f>
        <v>1</v>
      </c>
      <c r="H12">
        <f>IF(COUNTBLANK($H$6:$H$11)=6,0,1)</f>
        <v>1</v>
      </c>
      <c r="I12">
        <f>IF(COUNTBLANK($I$6:$I$11)=6,0,1)</f>
        <v>1</v>
      </c>
      <c r="J12">
        <f>IF(COUNTBLANK($J$6:$J$11)=6,0,1)</f>
        <v>1</v>
      </c>
      <c r="K12">
        <f>IF(COUNTBLANK($K$6:$K$11)=6,0,1)</f>
        <v>1</v>
      </c>
      <c r="L12">
        <f>IF(COUNTBLANK($L$6:$L$11)=6,0,1)</f>
        <v>1</v>
      </c>
      <c r="M12">
        <f>IF(COUNTBLANK($M$6:$M$11)=6,0,1)</f>
        <v>1</v>
      </c>
      <c r="N12">
        <f>IF(COUNTBLANK($N$6:$N$11)=6,0,1)</f>
        <v>1</v>
      </c>
      <c r="O12">
        <f>IF(COUNTBLANK($O$6:$O$11)=6,0,1)</f>
        <v>1</v>
      </c>
      <c r="P12">
        <f>IF(COUNTBLANK($P$6:$P$11)=6,0,1)</f>
        <v>1</v>
      </c>
      <c r="Q12">
        <f>IF(COUNTBLANK($Q$6:$Q$11)=6,0,1)</f>
        <v>1</v>
      </c>
      <c r="R12">
        <f>IF(COUNTBLANK($R$6:$R$11)=6,0,1)</f>
        <v>1</v>
      </c>
      <c r="S12">
        <f>IF(COUNTBLANK($S$6:$S$11)=6,0,1)</f>
        <v>1</v>
      </c>
      <c r="T12">
        <f>IF(COUNTBLANK($T$6:$T$11)=6,0,1)</f>
        <v>1</v>
      </c>
      <c r="U12">
        <f>IF(COUNTBLANK($U$6:$U$11)=6,0,1)</f>
        <v>1</v>
      </c>
      <c r="V12">
        <f>IF(COUNTBLANK($V$6:$V$11)=6,0,1)</f>
        <v>1</v>
      </c>
      <c r="W12">
        <f>IF(COUNTBLANK($W$6:$W$11)=6,0,1)</f>
        <v>1</v>
      </c>
      <c r="X12">
        <f>IF(COUNTBLANK($X$6:$X$11)=6,0,1)</f>
        <v>1</v>
      </c>
      <c r="Y12">
        <f>IF(COUNTBLANK($Y$6:$Y$11)=6,0,1)</f>
        <v>1</v>
      </c>
      <c r="Z12">
        <f>IF(COUNTBLANK($Z$6:$Z$11)=6,0,1)</f>
        <v>1</v>
      </c>
      <c r="AA12">
        <f>IF(COUNTBLANK($AA$6:$AA$11)=6,0,1)</f>
        <v>1</v>
      </c>
      <c r="AB12">
        <f>IF(COUNTBLANK($AB$6:$AB$11)=6,0,1)</f>
        <v>1</v>
      </c>
      <c r="AC12">
        <f>IF(COUNTBLANK($AC$6:$AC$11)=6,0,1)</f>
        <v>1</v>
      </c>
      <c r="AD12">
        <f>IF(COUNTBLANK($AD$6:$AD$11)=6,0,1)</f>
        <v>1</v>
      </c>
      <c r="AE12">
        <f>IF(COUNTBLANK($AE$6:$AE$11)=6,0,1)</f>
        <v>1</v>
      </c>
      <c r="AF12">
        <f>IF(COUNTBLANK($AF$6:$AF$11)=6,0,1)</f>
        <v>1</v>
      </c>
      <c r="AG12">
        <f>IF(COUNTBLANK($AG$6:$AG$11)=6,0,1)</f>
        <v>1</v>
      </c>
      <c r="AH12">
        <f>IF(COUNTBLANK($AH$6:$AH$11)=6,0,1)</f>
        <v>1</v>
      </c>
      <c r="AI12">
        <f>IF(COUNTBLANK($AI$6:$AI$11)=6,0,1)</f>
        <v>1</v>
      </c>
      <c r="AJ12">
        <f>IF(COUNTBLANK($AJ$6:$AJ$11)=6,0,1)</f>
        <v>1</v>
      </c>
      <c r="AK12">
        <f>IF(COUNTBLANK($AK$6:$AK$11)=6,0,1)</f>
        <v>1</v>
      </c>
      <c r="AL12">
        <f>IF(COUNTBLANK($AL$6:$AL$11)=6,0,1)</f>
        <v>1</v>
      </c>
      <c r="AM12">
        <f>IF(COUNTBLANK($AM$6:$AM$11)=6,0,1)</f>
        <v>1</v>
      </c>
      <c r="AN12">
        <f>IF(COUNTBLANK($AN$6:$AN$11)=6,0,1)</f>
        <v>1</v>
      </c>
      <c r="AO12">
        <f>IF(COUNTBLANK($AO$6:$AO$11)=6,0,1)</f>
        <v>1</v>
      </c>
      <c r="AP12">
        <f>IF(COUNTBLANK($AP$6:$AP$11)=6,0,1)</f>
        <v>1</v>
      </c>
      <c r="AQ12">
        <f>IF(COUNTBLANK($AQ$6:$AQ$11)=6,0,1)</f>
        <v>1</v>
      </c>
      <c r="AR12">
        <f>IF(COUNTBLANK($AR$6:$AR$11)=6,0,1)</f>
        <v>1</v>
      </c>
      <c r="AS12">
        <f>IF(COUNTBLANK($AS$6:$AS$11)=6,0,1)</f>
        <v>1</v>
      </c>
      <c r="AT12">
        <f>IF(COUNTBLANK($AT$6:$AT$11)=6,0,1)</f>
        <v>1</v>
      </c>
      <c r="AU12">
        <f>IF(COUNTBLANK($AU$6:$AU$11)=6,0,1)</f>
        <v>1</v>
      </c>
      <c r="AV12">
        <f>IF(COUNTBLANK($AV$6:$AV$11)=6,0,1)</f>
        <v>1</v>
      </c>
      <c r="AW12">
        <f>IF(COUNTBLANK($AW$6:$AW$11)=6,0,1)</f>
        <v>1</v>
      </c>
      <c r="AX12">
        <f>IF(COUNTBLANK($AX$6:$AX$11)=6,0,1)</f>
        <v>1</v>
      </c>
      <c r="AY12">
        <f>IF(COUNTBLANK($AY$6:$AY$11)=6,0,1)</f>
        <v>1</v>
      </c>
      <c r="AZ12" s="6">
        <f>IF(COUNTBLANK($AZ$6:$AZ$11)=6,0,1)</f>
        <v>1</v>
      </c>
      <c r="BA12" s="9">
        <f>IF(COUNTBLANK($BA$6:$BA$11)=6,0,1)</f>
        <v>1</v>
      </c>
      <c r="BB12">
        <f>IF(COUNTBLANK($BB$6:$BB$11)=6,0,1)</f>
        <v>1</v>
      </c>
      <c r="BC12">
        <f>IF(COUNTBLANK($BC$6:$BC$11)=6,0,1)</f>
        <v>1</v>
      </c>
      <c r="BD12">
        <f>IF(COUNTBLANK($BD$6:$BD$11)=6,0,1)</f>
        <v>1</v>
      </c>
      <c r="BE12">
        <f>IF(COUNTBLANK($BE$6:$BE$11)=6,0,1)</f>
        <v>1</v>
      </c>
      <c r="BF12">
        <f>IF(COUNTBLANK($BF$6:$BF$11)=6,0,1)</f>
        <v>1</v>
      </c>
      <c r="BG12">
        <f>IF(COUNTBLANK($BG$6:$BG$11)=6,0,1)</f>
        <v>1</v>
      </c>
      <c r="BH12">
        <f>IF(COUNTBLANK($BH$6:$BH$11)=6,0,1)</f>
        <v>1</v>
      </c>
      <c r="BI12">
        <f>IF(COUNTBLANK($BI$6:$BI$11)=6,0,1)</f>
        <v>1</v>
      </c>
      <c r="BJ12">
        <f>IF(COUNTBLANK($BJ$6:$BJ$11)=6,0,1)</f>
        <v>1</v>
      </c>
      <c r="BK12">
        <f>IF(COUNTBLANK($BK$6:$BK$11)=6,0,1)</f>
        <v>1</v>
      </c>
    </row>
    <row r="13" spans="1:63" x14ac:dyDescent="0.25">
      <c r="A13" s="97"/>
      <c r="B13" s="101"/>
      <c r="C13" s="7">
        <f>$C$12/60</f>
        <v>1</v>
      </c>
    </row>
    <row r="14" spans="1:63" x14ac:dyDescent="0.25">
      <c r="A14" s="97"/>
      <c r="B14" s="101" t="s">
        <v>28</v>
      </c>
      <c r="C14" s="3">
        <f>60-(SUM($D$12:$BK$12))</f>
        <v>0</v>
      </c>
    </row>
    <row r="15" spans="1:63" x14ac:dyDescent="0.25">
      <c r="A15" s="97"/>
      <c r="B15" s="101"/>
      <c r="C15" s="7">
        <f>$C$14/60</f>
        <v>0</v>
      </c>
    </row>
    <row r="16" spans="1:63" x14ac:dyDescent="0.25">
      <c r="A16" s="97"/>
      <c r="B16" s="2" t="s">
        <v>91</v>
      </c>
      <c r="C16" s="10" t="str">
        <f>IF($C$12&gt;=50,"YES","NO")</f>
        <v>YES</v>
      </c>
    </row>
    <row r="17" spans="1:63" x14ac:dyDescent="0.25">
      <c r="A17" s="97"/>
      <c r="B17" s="101" t="s">
        <v>27</v>
      </c>
      <c r="C17" s="3">
        <f>COUNTIF($C$6:$C$11,"running")</f>
        <v>6</v>
      </c>
    </row>
    <row r="18" spans="1:63" x14ac:dyDescent="0.25">
      <c r="A18" s="97"/>
      <c r="B18" s="101"/>
      <c r="C18" s="7">
        <f>$C$17/6</f>
        <v>1</v>
      </c>
    </row>
    <row r="19" spans="1:63" x14ac:dyDescent="0.25">
      <c r="A19" s="97"/>
      <c r="B19" s="101" t="s">
        <v>29</v>
      </c>
      <c r="C19" s="3">
        <f>COUNTIF($C$6:$C$11,"failing")</f>
        <v>0</v>
      </c>
    </row>
    <row r="20" spans="1:63" x14ac:dyDescent="0.25">
      <c r="A20" s="97"/>
      <c r="B20" s="101"/>
      <c r="C20" s="7">
        <f>$C$19/6</f>
        <v>0</v>
      </c>
    </row>
    <row r="21" spans="1:63" x14ac:dyDescent="0.25">
      <c r="A21" s="97"/>
      <c r="B21" s="101" t="s">
        <v>30</v>
      </c>
      <c r="C21" s="3">
        <f>COUNTIF($D$6:$BK$11,"P")+COUNTIF($D$6:$BK$11,"B")</f>
        <v>120</v>
      </c>
    </row>
    <row r="22" spans="1:63" x14ac:dyDescent="0.25">
      <c r="A22" s="97"/>
      <c r="B22" s="101"/>
      <c r="C22" s="7">
        <f>$C$21/120</f>
        <v>1</v>
      </c>
    </row>
    <row r="23" spans="1:63" x14ac:dyDescent="0.25">
      <c r="A23" s="97"/>
      <c r="B23" s="101" t="s">
        <v>31</v>
      </c>
      <c r="C23" s="3">
        <f>120-(COUNTIF($D$6:$BK$11,"P")+COUNTIF($D$6:$BK$11,"B"))</f>
        <v>0</v>
      </c>
    </row>
    <row r="24" spans="1:63" x14ac:dyDescent="0.25">
      <c r="A24" s="97"/>
      <c r="B24" s="101"/>
      <c r="C24" s="7">
        <f>$C$23/120</f>
        <v>0</v>
      </c>
    </row>
    <row r="26" spans="1:63" ht="23.25" x14ac:dyDescent="0.35">
      <c r="B26" s="4" t="str">
        <f>"DTKA configuration with 6 distributed key authority nodes ("&amp;COUNTIF($C$31:$C$36,"failing")&amp;" failing node(s)):"</f>
        <v>DTKA configuration with 6 distributed key authority nodes (2 failing node(s)):</v>
      </c>
    </row>
    <row r="27" spans="1:63" x14ac:dyDescent="0.25">
      <c r="A27" s="97" t="s">
        <v>118</v>
      </c>
      <c r="D27" s="98" t="s">
        <v>93</v>
      </c>
      <c r="E27" s="99"/>
      <c r="F27" s="99"/>
      <c r="G27" s="99"/>
      <c r="H27" s="99"/>
      <c r="I27" s="99"/>
      <c r="J27" s="99"/>
      <c r="K27" s="99"/>
      <c r="L27" s="99"/>
      <c r="M27" s="99"/>
      <c r="N27" s="99"/>
      <c r="O27" s="99"/>
      <c r="P27" s="99"/>
      <c r="Q27" s="99"/>
      <c r="R27" s="99"/>
      <c r="S27" s="99"/>
      <c r="T27" s="99"/>
      <c r="U27" s="99"/>
      <c r="V27" s="99"/>
      <c r="W27" s="99"/>
      <c r="X27" s="99"/>
      <c r="Y27" s="99"/>
      <c r="Z27" s="99"/>
      <c r="AA27" s="99"/>
      <c r="AB27" s="99"/>
      <c r="AC27" s="99"/>
      <c r="AD27" s="99"/>
      <c r="AE27" s="99"/>
      <c r="AF27" s="99"/>
      <c r="AG27" s="99"/>
      <c r="AH27" s="99"/>
      <c r="AI27" s="99"/>
      <c r="AJ27" s="99"/>
      <c r="AK27" s="99"/>
      <c r="AL27" s="99"/>
      <c r="AM27" s="99"/>
      <c r="AN27" s="99"/>
      <c r="AO27" s="99"/>
      <c r="AP27" s="99"/>
      <c r="AQ27" s="99"/>
      <c r="AR27" s="99"/>
      <c r="AS27" s="99"/>
      <c r="AT27" s="99"/>
      <c r="AU27" s="99"/>
      <c r="AV27" s="99"/>
      <c r="AW27" s="99"/>
      <c r="AX27" s="99"/>
      <c r="AY27" s="99"/>
      <c r="AZ27" s="99"/>
      <c r="BA27" s="100"/>
      <c r="BB27" s="98" t="s">
        <v>99</v>
      </c>
      <c r="BC27" s="99"/>
      <c r="BD27" s="99"/>
      <c r="BE27" s="99"/>
      <c r="BF27" s="99"/>
      <c r="BG27" s="99"/>
      <c r="BH27" s="99"/>
      <c r="BI27" s="99"/>
      <c r="BJ27" s="99"/>
      <c r="BK27" s="100"/>
    </row>
    <row r="28" spans="1:63" x14ac:dyDescent="0.25">
      <c r="A28" s="97"/>
      <c r="B28" t="s">
        <v>20</v>
      </c>
      <c r="D28">
        <v>0</v>
      </c>
      <c r="E28">
        <v>1</v>
      </c>
      <c r="F28">
        <v>2</v>
      </c>
      <c r="G28">
        <v>3</v>
      </c>
      <c r="H28">
        <v>4</v>
      </c>
      <c r="I28">
        <v>5</v>
      </c>
      <c r="J28">
        <v>6</v>
      </c>
      <c r="K28">
        <v>7</v>
      </c>
      <c r="L28">
        <v>8</v>
      </c>
      <c r="M28">
        <v>9</v>
      </c>
      <c r="N28">
        <v>10</v>
      </c>
      <c r="O28">
        <v>11</v>
      </c>
      <c r="P28">
        <v>12</v>
      </c>
      <c r="Q28">
        <v>13</v>
      </c>
      <c r="R28">
        <v>14</v>
      </c>
      <c r="S28">
        <v>15</v>
      </c>
      <c r="T28">
        <v>16</v>
      </c>
      <c r="U28">
        <v>17</v>
      </c>
      <c r="V28">
        <v>18</v>
      </c>
      <c r="W28">
        <v>19</v>
      </c>
      <c r="X28">
        <v>20</v>
      </c>
      <c r="Y28">
        <v>21</v>
      </c>
      <c r="Z28">
        <v>22</v>
      </c>
      <c r="AA28">
        <v>23</v>
      </c>
      <c r="AB28">
        <v>24</v>
      </c>
      <c r="AC28">
        <v>25</v>
      </c>
      <c r="AD28">
        <v>26</v>
      </c>
      <c r="AE28">
        <v>27</v>
      </c>
      <c r="AF28">
        <v>28</v>
      </c>
      <c r="AG28">
        <v>29</v>
      </c>
      <c r="AH28">
        <v>30</v>
      </c>
      <c r="AI28">
        <v>31</v>
      </c>
      <c r="AJ28">
        <v>32</v>
      </c>
      <c r="AK28">
        <v>33</v>
      </c>
      <c r="AL28">
        <v>34</v>
      </c>
      <c r="AM28">
        <v>35</v>
      </c>
      <c r="AN28">
        <v>36</v>
      </c>
      <c r="AO28">
        <v>37</v>
      </c>
      <c r="AP28">
        <v>38</v>
      </c>
      <c r="AQ28">
        <v>39</v>
      </c>
      <c r="AR28">
        <v>40</v>
      </c>
      <c r="AS28">
        <v>41</v>
      </c>
      <c r="AT28">
        <v>42</v>
      </c>
      <c r="AU28">
        <v>43</v>
      </c>
      <c r="AV28">
        <v>44</v>
      </c>
      <c r="AW28">
        <v>45</v>
      </c>
      <c r="AX28">
        <v>46</v>
      </c>
      <c r="AY28">
        <v>47</v>
      </c>
      <c r="AZ28">
        <v>48</v>
      </c>
      <c r="BA28">
        <v>49</v>
      </c>
      <c r="BB28">
        <v>0</v>
      </c>
      <c r="BC28">
        <v>1</v>
      </c>
      <c r="BD28">
        <v>2</v>
      </c>
      <c r="BE28">
        <v>3</v>
      </c>
      <c r="BF28">
        <v>4</v>
      </c>
      <c r="BG28">
        <v>5</v>
      </c>
      <c r="BH28">
        <v>6</v>
      </c>
      <c r="BI28">
        <v>7</v>
      </c>
      <c r="BJ28">
        <v>8</v>
      </c>
      <c r="BK28">
        <v>9</v>
      </c>
    </row>
    <row r="29" spans="1:63" x14ac:dyDescent="0.25">
      <c r="A29" s="97"/>
      <c r="B29" t="s">
        <v>21</v>
      </c>
      <c r="D29" s="43">
        <v>0</v>
      </c>
      <c r="E29" s="43">
        <v>1</v>
      </c>
      <c r="F29" s="43">
        <v>2</v>
      </c>
      <c r="G29" s="43">
        <v>3</v>
      </c>
      <c r="H29" s="43">
        <v>4</v>
      </c>
      <c r="I29" s="43">
        <v>5</v>
      </c>
      <c r="J29" s="43">
        <v>6</v>
      </c>
      <c r="K29" s="43">
        <v>7</v>
      </c>
      <c r="L29" s="43">
        <v>8</v>
      </c>
      <c r="M29" s="43">
        <v>9</v>
      </c>
      <c r="N29" s="43">
        <v>10</v>
      </c>
      <c r="O29" s="43">
        <v>11</v>
      </c>
      <c r="P29" s="43">
        <v>12</v>
      </c>
      <c r="Q29" s="43">
        <v>13</v>
      </c>
      <c r="R29" s="43">
        <v>14</v>
      </c>
      <c r="S29" s="43">
        <v>15</v>
      </c>
      <c r="T29" s="43">
        <v>16</v>
      </c>
      <c r="U29" s="43">
        <v>17</v>
      </c>
      <c r="V29" s="43">
        <v>18</v>
      </c>
      <c r="W29" s="43">
        <v>19</v>
      </c>
      <c r="X29" s="43">
        <v>20</v>
      </c>
      <c r="Y29" s="43">
        <v>21</v>
      </c>
      <c r="Z29" s="43">
        <v>22</v>
      </c>
      <c r="AA29" s="43">
        <v>23</v>
      </c>
      <c r="AB29" s="43">
        <v>24</v>
      </c>
      <c r="AC29" s="43">
        <v>25</v>
      </c>
      <c r="AD29" s="43">
        <v>26</v>
      </c>
      <c r="AE29" s="43">
        <v>27</v>
      </c>
      <c r="AF29" s="43">
        <v>28</v>
      </c>
      <c r="AG29" s="43">
        <v>29</v>
      </c>
      <c r="AH29" s="43">
        <v>30</v>
      </c>
      <c r="AI29" s="43">
        <v>31</v>
      </c>
      <c r="AJ29" s="43">
        <v>32</v>
      </c>
      <c r="AK29" s="43">
        <v>33</v>
      </c>
      <c r="AL29" s="43">
        <v>34</v>
      </c>
      <c r="AM29" s="43">
        <v>35</v>
      </c>
      <c r="AN29" s="43">
        <v>36</v>
      </c>
      <c r="AO29" s="43">
        <v>37</v>
      </c>
      <c r="AP29" s="43">
        <v>38</v>
      </c>
      <c r="AQ29" s="43">
        <v>39</v>
      </c>
      <c r="AR29" s="43">
        <v>40</v>
      </c>
      <c r="AS29" s="43">
        <v>41</v>
      </c>
      <c r="AT29" s="43">
        <v>42</v>
      </c>
      <c r="AU29" s="43">
        <v>43</v>
      </c>
      <c r="AV29" s="43">
        <v>44</v>
      </c>
      <c r="AW29" s="43">
        <v>45</v>
      </c>
      <c r="AX29" s="43">
        <v>46</v>
      </c>
      <c r="AY29" s="43">
        <v>47</v>
      </c>
      <c r="AZ29" s="5">
        <v>48</v>
      </c>
      <c r="BA29" s="8">
        <v>49</v>
      </c>
      <c r="BB29" s="43">
        <v>50</v>
      </c>
      <c r="BC29" s="43">
        <v>51</v>
      </c>
      <c r="BD29" s="43">
        <v>52</v>
      </c>
      <c r="BE29" s="43">
        <v>53</v>
      </c>
      <c r="BF29" s="43">
        <v>54</v>
      </c>
      <c r="BG29" s="43">
        <v>55</v>
      </c>
      <c r="BH29" s="43">
        <v>56</v>
      </c>
      <c r="BI29" s="43">
        <v>57</v>
      </c>
      <c r="BJ29" s="43">
        <v>58</v>
      </c>
      <c r="BK29" s="43">
        <v>59</v>
      </c>
    </row>
    <row r="30" spans="1:63" x14ac:dyDescent="0.25">
      <c r="A30" s="97"/>
      <c r="B30" t="s">
        <v>98</v>
      </c>
      <c r="D30">
        <f>IF(AND(COUNTIF($D$31:$D$37,"P")=1,COUNTIF($D$31:$D$37,"B")=DTKA_FEC_OVERLAP),1,0)</f>
        <v>0</v>
      </c>
      <c r="E30">
        <f>IF(AND(COUNTIF($E$31:$E$37,"P")=1,COUNTIF($E$31:$E$37,"B")=DTKA_FEC_OVERLAP),1,0)</f>
        <v>0</v>
      </c>
      <c r="F30">
        <f>IF(AND(COUNTIF($F$31:$F$37,"P")=1,COUNTIF($F$31:$F$37,"B")=DTKA_FEC_OVERLAP),1,0)</f>
        <v>0</v>
      </c>
      <c r="G30">
        <f>IF(AND(COUNTIF($G$31:$G$37,"P")=1,COUNTIF($G$31:$G$37,"B")=DTKA_FEC_OVERLAP),1,0)</f>
        <v>0</v>
      </c>
      <c r="H30">
        <f>IF(AND(COUNTIF($H$31:$H$37,"P")=1,COUNTIF($H$31:$H$37,"B")=DTKA_FEC_OVERLAP),1,0)</f>
        <v>0</v>
      </c>
      <c r="I30">
        <f>IF(AND(COUNTIF($I$31:$I$37,"P")=1,COUNTIF($I$31:$I$37,"B")=DTKA_FEC_OVERLAP),1,0)</f>
        <v>0</v>
      </c>
      <c r="J30">
        <f>IF(AND(COUNTIF($J$31:$J$37,"P")=1,COUNTIF($J$31:$J$37,"B")=DTKA_FEC_OVERLAP),1,0)</f>
        <v>0</v>
      </c>
      <c r="K30">
        <f>IF(AND(COUNTIF($K$31:$K$37,"P")=1,COUNTIF($K$31:$K$37,"B")=DTKA_FEC_OVERLAP),1,0)</f>
        <v>0</v>
      </c>
      <c r="L30">
        <f>IF(AND(COUNTIF($L$31:$L$37,"P")=1,COUNTIF($L$31:$L$37,"B")=DTKA_FEC_OVERLAP),1,0)</f>
        <v>0</v>
      </c>
      <c r="M30">
        <f>IF(AND(COUNTIF($M$31:$M$37,"P")=1,COUNTIF($M$31:$M$37,"B")=DTKA_FEC_OVERLAP),1,0)</f>
        <v>0</v>
      </c>
      <c r="N30">
        <f>IF(AND(COUNTIF($N$31:$N$37,"P")=1,COUNTIF($N$31:$N$37,"B")=DTKA_FEC_OVERLAP),1,0)</f>
        <v>0</v>
      </c>
      <c r="O30">
        <f>IF(AND(COUNTIF($O$31:$O$37,"P")=1,COUNTIF($O$31:$O$37,"B")=DTKA_FEC_OVERLAP),1,0)</f>
        <v>0</v>
      </c>
      <c r="P30">
        <f>IF(AND(COUNTIF($P$31:$P$37,"P")=1,COUNTIF($P$31:$P$37,"B")=DTKA_FEC_OVERLAP),1,0)</f>
        <v>0</v>
      </c>
      <c r="Q30">
        <f>IF(AND(COUNTIF($Q$31:$Q$37,"P")=1,COUNTIF($Q$31:$Q$37,"B")=DTKA_FEC_OVERLAP),1,0)</f>
        <v>0</v>
      </c>
      <c r="R30">
        <f>IF(AND(COUNTIF($R$31:$R$37,"P")=1,COUNTIF($R$31:$R$37,"B")=DTKA_FEC_OVERLAP),1,0)</f>
        <v>0</v>
      </c>
      <c r="S30">
        <f>IF(AND(COUNTIF($S$31:$S$37,"P")=1,COUNTIF($S$31:$S$37,"B")=DTKA_FEC_OVERLAP),1,0)</f>
        <v>0</v>
      </c>
      <c r="T30">
        <f>IF(AND(COUNTIF($T$31:$T$37,"P")=1,COUNTIF($T$31:$T$37,"B")=DTKA_FEC_OVERLAP),1,0)</f>
        <v>0</v>
      </c>
      <c r="U30">
        <f>IF(AND(COUNTIF($U$31:$U$37,"P")=1,COUNTIF($U$31:$U$37,"B")=DTKA_FEC_OVERLAP),1,0)</f>
        <v>0</v>
      </c>
      <c r="V30">
        <f>IF(AND(COUNTIF($V$31:$V$37,"P")=1,COUNTIF($V$31:$V$37,"B")=DTKA_FEC_OVERLAP),1,0)</f>
        <v>0</v>
      </c>
      <c r="W30">
        <f>IF(AND(COUNTIF($W$31:$W$37,"P")=1,COUNTIF($W$31:$W$37,"B")=DTKA_FEC_OVERLAP),1,0)</f>
        <v>0</v>
      </c>
      <c r="X30">
        <f>IF(AND(COUNTIF($X$31:$X$37,"P")=1,COUNTIF($X$31:$X$37,"B")=DTKA_FEC_OVERLAP),1,0)</f>
        <v>0</v>
      </c>
      <c r="Y30">
        <f>IF(AND(COUNTIF($Y$31:$Y$37,"P")=1,COUNTIF($Y$31:$Y$37,"B")=DTKA_FEC_OVERLAP),1,0)</f>
        <v>0</v>
      </c>
      <c r="Z30">
        <f>IF(AND(COUNTIF($Z$31:$Z$37,"P")=1,COUNTIF($Z$31:$Z$37,"B")=DTKA_FEC_OVERLAP),1,0)</f>
        <v>0</v>
      </c>
      <c r="AA30">
        <f>IF(AND(COUNTIF($AA$31:$AA$37,"P")=1,COUNTIF($AA$31:$AA$37,"B")=DTKA_FEC_OVERLAP),1,0)</f>
        <v>0</v>
      </c>
      <c r="AB30">
        <f>IF(AND(COUNTIF($AB$31:$AB$37,"P")=1,COUNTIF($AB$31:$AB$37,"B")=DTKA_FEC_OVERLAP),1,0)</f>
        <v>0</v>
      </c>
      <c r="AC30">
        <f>IF(AND(COUNTIF($AC$31:$AC$37,"P")=1,COUNTIF($AC$31:$AC$37,"B")=DTKA_FEC_OVERLAP),1,0)</f>
        <v>0</v>
      </c>
      <c r="AD30">
        <f>IF(AND(COUNTIF($AD$31:$AD$37,"P")=1,COUNTIF($AD$31:$AD$37,"B")=DTKA_FEC_OVERLAP),1,0)</f>
        <v>0</v>
      </c>
      <c r="AE30">
        <f>IF(AND(COUNTIF($AE$31:$AE$37,"P")=1,COUNTIF($AE$31:$AE$37,"B")=DTKA_FEC_OVERLAP),1,0)</f>
        <v>0</v>
      </c>
      <c r="AF30">
        <f>IF(AND(COUNTIF($AF$31:$AF$37,"P")=1,COUNTIF($AF$31:$AF$37,"B")=DTKA_FEC_OVERLAP),1,0)</f>
        <v>0</v>
      </c>
      <c r="AG30">
        <f>IF(AND(COUNTIF($AG$31:$AG$37,"P")=1,COUNTIF($AG$31:$AG$37,"B")=DTKA_FEC_OVERLAP),1,0)</f>
        <v>0</v>
      </c>
      <c r="AH30">
        <f>IF(AND(COUNTIF($AH$31:$AH$37,"P")=1,COUNTIF($AH$31:$AH$37,"B")=DTKA_FEC_OVERLAP),1,0)</f>
        <v>1</v>
      </c>
      <c r="AI30">
        <f>IF(AND(COUNTIF($AI$31:$AI$37,"P")=1,COUNTIF($AI$31:$AI$37,"B")=DTKA_FEC_OVERLAP),1,0)</f>
        <v>1</v>
      </c>
      <c r="AJ30">
        <f>IF(AND(COUNTIF($AJ$31:$AJ$37,"P")=1,COUNTIF($AJ$31:$AJ$37,"B")=DTKA_FEC_OVERLAP),1,0)</f>
        <v>1</v>
      </c>
      <c r="AK30">
        <f>IF(AND(COUNTIF($AK$31:$AK$37,"P")=1,COUNTIF($AK$31:$AK$37,"B")=DTKA_FEC_OVERLAP),1,0)</f>
        <v>1</v>
      </c>
      <c r="AL30">
        <f>IF(AND(COUNTIF($AL$31:$AL$37,"P")=1,COUNTIF($AL$31:$AL$37,"B")=DTKA_FEC_OVERLAP),1,0)</f>
        <v>1</v>
      </c>
      <c r="AM30">
        <f>IF(AND(COUNTIF($AM$31:$AM$37,"P")=1,COUNTIF($AM$31:$AM$37,"B")=DTKA_FEC_OVERLAP),1,0)</f>
        <v>1</v>
      </c>
      <c r="AN30">
        <f>IF(AND(COUNTIF($AN$31:$AN$37,"P")=1,COUNTIF($AN$31:$AN$37,"B")=DTKA_FEC_OVERLAP),1,0)</f>
        <v>1</v>
      </c>
      <c r="AO30">
        <f>IF(AND(COUNTIF($AO$31:$AO$37,"P")=1,COUNTIF($AO$31:$AO$37,"B")=DTKA_FEC_OVERLAP),1,0)</f>
        <v>1</v>
      </c>
      <c r="AP30">
        <f>IF(AND(COUNTIF($AP$31:$AP$37,"P")=1,COUNTIF($AP$31:$AP$37,"B")=DTKA_FEC_OVERLAP),1,0)</f>
        <v>1</v>
      </c>
      <c r="AQ30">
        <f>IF(AND(COUNTIF($AQ$31:$AQ$37,"P")=1,COUNTIF($AQ$31:$AQ$37,"B")=DTKA_FEC_OVERLAP),1,0)</f>
        <v>1</v>
      </c>
      <c r="AR30">
        <f>IF(AND(COUNTIF($AR$31:$AR$37,"P")=1,COUNTIF($AR$31:$AR$37,"B")=DTKA_FEC_OVERLAP),1,0)</f>
        <v>1</v>
      </c>
      <c r="AS30">
        <f>IF(AND(COUNTIF($AS$31:$AS$37,"P")=1,COUNTIF($AS$31:$AS$37,"B")=DTKA_FEC_OVERLAP),1,0)</f>
        <v>1</v>
      </c>
      <c r="AT30">
        <f>IF(AND(COUNTIF($AT$31:$AT$37,"P")=1,COUNTIF($AT$31:$AT$37,"B")=DTKA_FEC_OVERLAP),1,0)</f>
        <v>1</v>
      </c>
      <c r="AU30">
        <f>IF(AND(COUNTIF($AU$31:$AU$37,"P")=1,COUNTIF($AU$31:$AU$37,"B")=DTKA_FEC_OVERLAP),1,0)</f>
        <v>1</v>
      </c>
      <c r="AV30">
        <f>IF(AND(COUNTIF($AV$31:$AV$37,"P")=1,COUNTIF($AV$31:$AV$37,"B")=DTKA_FEC_OVERLAP),1,0)</f>
        <v>1</v>
      </c>
      <c r="AW30">
        <f>IF(AND(COUNTIF($AW$31:$AW$37,"P")=1,COUNTIF($AW$31:$AW$37,"B")=DTKA_FEC_OVERLAP),1,0)</f>
        <v>1</v>
      </c>
      <c r="AX30">
        <f>IF(AND(COUNTIF($AX$31:$AX$37,"P")=1,COUNTIF($AX$31:$AX$37,"B")=DTKA_FEC_OVERLAP),1,0)</f>
        <v>1</v>
      </c>
      <c r="AY30">
        <f>IF(AND(COUNTIF($AY$31:$AY$37,"P")=1,COUNTIF($AY$31:$AY$37,"B")=DTKA_FEC_OVERLAP),1,0)</f>
        <v>1</v>
      </c>
      <c r="AZ30" s="6">
        <f>IF(AND(COUNTIF($AZ$31:$AZ$37,"P")=1,COUNTIF($AZ$31:$AZ$37,"B")=DTKA_FEC_OVERLAP),1,0)</f>
        <v>1</v>
      </c>
      <c r="BA30" s="9">
        <f>IF(AND(COUNTIF($BA$31:$BA$37,"P")=1,COUNTIF($BA$31:$BA$37,"B")=DTKA_FEC_OVERLAP),1,0)</f>
        <v>1</v>
      </c>
      <c r="BB30">
        <f>IF(AND(COUNTIF($BB$31:$BB$37,"P")=1,COUNTIF($BB$31:$BB$37,"B")=DTKA_FEC_OVERLAP),1,0)</f>
        <v>1</v>
      </c>
      <c r="BC30">
        <f>IF(AND(COUNTIF($BC$31:$BC$37,"P")=1,COUNTIF($BC$31:$BC$37,"B")=DTKA_FEC_OVERLAP),1,0)</f>
        <v>1</v>
      </c>
      <c r="BD30">
        <f>IF(AND(COUNTIF($BD$31:$BD$37,"P")=1,COUNTIF($BD$31:$BD$37,"B")=DTKA_FEC_OVERLAP),1,0)</f>
        <v>1</v>
      </c>
      <c r="BE30">
        <f>IF(AND(COUNTIF($BE$31:$BE$37,"P")=1,COUNTIF($BE$31:$BE$37,"B")=DTKA_FEC_OVERLAP),1,0)</f>
        <v>1</v>
      </c>
      <c r="BF30">
        <f>IF(AND(COUNTIF($BF$31:$BF$37,"P")=1,COUNTIF($BF$31:$BF$37,"B")=DTKA_FEC_OVERLAP),1,0)</f>
        <v>1</v>
      </c>
      <c r="BG30">
        <f>IF(AND(COUNTIF($BG$31:$BG$37,"P")=1,COUNTIF($BG$31:$BG$37,"B")=DTKA_FEC_OVERLAP),1,0)</f>
        <v>1</v>
      </c>
      <c r="BH30">
        <f>IF(AND(COUNTIF($BH$31:$BH$37,"P")=1,COUNTIF($BH$31:$BH$37,"B")=DTKA_FEC_OVERLAP),1,0)</f>
        <v>1</v>
      </c>
      <c r="BI30">
        <f>IF(AND(COUNTIF($BI$31:$BI$37,"P")=1,COUNTIF($BI$31:$BI$37,"B")=DTKA_FEC_OVERLAP),1,0)</f>
        <v>1</v>
      </c>
      <c r="BJ30">
        <f>IF(AND(COUNTIF($BJ$31:$BJ$37,"P")=1,COUNTIF($BJ$31:$BJ$37,"B")=DTKA_FEC_OVERLAP),1,0)</f>
        <v>1</v>
      </c>
      <c r="BK30">
        <f>IF(AND(COUNTIF($BK$31:$BK$37,"P")=1,COUNTIF($BK$31:$BK$37,"B")=DTKA_FEC_OVERLAP),1,0)</f>
        <v>1</v>
      </c>
    </row>
    <row r="31" spans="1:63" x14ac:dyDescent="0.25">
      <c r="A31" s="97"/>
      <c r="B31" t="s">
        <v>22</v>
      </c>
      <c r="C31" t="s">
        <v>119</v>
      </c>
      <c r="D31" t="str">
        <f t="shared" ref="D31:M31" si="12">IF($C$31="running","P","")</f>
        <v/>
      </c>
      <c r="E31" t="str">
        <f t="shared" si="12"/>
        <v/>
      </c>
      <c r="F31" t="str">
        <f t="shared" si="12"/>
        <v/>
      </c>
      <c r="G31" t="str">
        <f t="shared" si="12"/>
        <v/>
      </c>
      <c r="H31" t="str">
        <f t="shared" si="12"/>
        <v/>
      </c>
      <c r="I31" t="str">
        <f t="shared" si="12"/>
        <v/>
      </c>
      <c r="J31" t="str">
        <f t="shared" si="12"/>
        <v/>
      </c>
      <c r="K31" t="str">
        <f t="shared" si="12"/>
        <v/>
      </c>
      <c r="L31" t="str">
        <f t="shared" si="12"/>
        <v/>
      </c>
      <c r="M31" t="str">
        <f t="shared" si="12"/>
        <v/>
      </c>
      <c r="N31" t="str">
        <f t="shared" ref="N31:W31" si="13">IF($C$31="running","B","")</f>
        <v/>
      </c>
      <c r="O31" t="str">
        <f t="shared" si="13"/>
        <v/>
      </c>
      <c r="P31" t="str">
        <f t="shared" si="13"/>
        <v/>
      </c>
      <c r="Q31" t="str">
        <f t="shared" si="13"/>
        <v/>
      </c>
      <c r="R31" t="str">
        <f t="shared" si="13"/>
        <v/>
      </c>
      <c r="S31" t="str">
        <f t="shared" si="13"/>
        <v/>
      </c>
      <c r="T31" t="str">
        <f t="shared" si="13"/>
        <v/>
      </c>
      <c r="U31" t="str">
        <f t="shared" si="13"/>
        <v/>
      </c>
      <c r="V31" t="str">
        <f t="shared" si="13"/>
        <v/>
      </c>
      <c r="W31" t="str">
        <f t="shared" si="13"/>
        <v/>
      </c>
      <c r="AZ31" s="6"/>
      <c r="BA31" s="9"/>
    </row>
    <row r="32" spans="1:63" x14ac:dyDescent="0.25">
      <c r="A32" s="97"/>
      <c r="B32" t="s">
        <v>23</v>
      </c>
      <c r="C32" t="s">
        <v>119</v>
      </c>
      <c r="N32" t="str">
        <f t="shared" ref="N32:W32" si="14">IF($C$32="running","P","")</f>
        <v/>
      </c>
      <c r="O32" t="str">
        <f t="shared" si="14"/>
        <v/>
      </c>
      <c r="P32" t="str">
        <f t="shared" si="14"/>
        <v/>
      </c>
      <c r="Q32" t="str">
        <f t="shared" si="14"/>
        <v/>
      </c>
      <c r="R32" t="str">
        <f t="shared" si="14"/>
        <v/>
      </c>
      <c r="S32" t="str">
        <f t="shared" si="14"/>
        <v/>
      </c>
      <c r="T32" t="str">
        <f t="shared" si="14"/>
        <v/>
      </c>
      <c r="U32" t="str">
        <f t="shared" si="14"/>
        <v/>
      </c>
      <c r="V32" t="str">
        <f t="shared" si="14"/>
        <v/>
      </c>
      <c r="W32" t="str">
        <f t="shared" si="14"/>
        <v/>
      </c>
      <c r="X32" t="str">
        <f t="shared" ref="X32:AG32" si="15">IF($C$32="running","B","")</f>
        <v/>
      </c>
      <c r="Y32" t="str">
        <f t="shared" si="15"/>
        <v/>
      </c>
      <c r="Z32" t="str">
        <f t="shared" si="15"/>
        <v/>
      </c>
      <c r="AA32" t="str">
        <f t="shared" si="15"/>
        <v/>
      </c>
      <c r="AB32" t="str">
        <f t="shared" si="15"/>
        <v/>
      </c>
      <c r="AC32" t="str">
        <f t="shared" si="15"/>
        <v/>
      </c>
      <c r="AD32" t="str">
        <f t="shared" si="15"/>
        <v/>
      </c>
      <c r="AE32" t="str">
        <f t="shared" si="15"/>
        <v/>
      </c>
      <c r="AF32" t="str">
        <f t="shared" si="15"/>
        <v/>
      </c>
      <c r="AG32" t="str">
        <f t="shared" si="15"/>
        <v/>
      </c>
      <c r="AZ32" s="6"/>
      <c r="BA32" s="9"/>
    </row>
    <row r="33" spans="1:63" x14ac:dyDescent="0.25">
      <c r="A33" s="97"/>
      <c r="B33" t="s">
        <v>94</v>
      </c>
      <c r="C33" t="s">
        <v>24</v>
      </c>
      <c r="X33" t="str">
        <f t="shared" ref="X33:AG33" si="16">IF($C$33="running","P","")</f>
        <v>P</v>
      </c>
      <c r="Y33" t="str">
        <f t="shared" si="16"/>
        <v>P</v>
      </c>
      <c r="Z33" t="str">
        <f t="shared" si="16"/>
        <v>P</v>
      </c>
      <c r="AA33" t="str">
        <f t="shared" si="16"/>
        <v>P</v>
      </c>
      <c r="AB33" t="str">
        <f t="shared" si="16"/>
        <v>P</v>
      </c>
      <c r="AC33" t="str">
        <f t="shared" si="16"/>
        <v>P</v>
      </c>
      <c r="AD33" t="str">
        <f t="shared" si="16"/>
        <v>P</v>
      </c>
      <c r="AE33" t="str">
        <f t="shared" si="16"/>
        <v>P</v>
      </c>
      <c r="AF33" t="str">
        <f t="shared" si="16"/>
        <v>P</v>
      </c>
      <c r="AG33" t="str">
        <f t="shared" si="16"/>
        <v>P</v>
      </c>
      <c r="AH33" t="str">
        <f t="shared" ref="AH33:AQ33" si="17">IF($C$33="running","B","")</f>
        <v>B</v>
      </c>
      <c r="AI33" t="str">
        <f t="shared" si="17"/>
        <v>B</v>
      </c>
      <c r="AJ33" t="str">
        <f t="shared" si="17"/>
        <v>B</v>
      </c>
      <c r="AK33" t="str">
        <f t="shared" si="17"/>
        <v>B</v>
      </c>
      <c r="AL33" t="str">
        <f t="shared" si="17"/>
        <v>B</v>
      </c>
      <c r="AM33" t="str">
        <f t="shared" si="17"/>
        <v>B</v>
      </c>
      <c r="AN33" t="str">
        <f t="shared" si="17"/>
        <v>B</v>
      </c>
      <c r="AO33" t="str">
        <f t="shared" si="17"/>
        <v>B</v>
      </c>
      <c r="AP33" t="str">
        <f t="shared" si="17"/>
        <v>B</v>
      </c>
      <c r="AQ33" t="str">
        <f t="shared" si="17"/>
        <v>B</v>
      </c>
      <c r="AZ33" s="6"/>
      <c r="BA33" s="9"/>
    </row>
    <row r="34" spans="1:63" x14ac:dyDescent="0.25">
      <c r="A34" s="97"/>
      <c r="B34" t="s">
        <v>95</v>
      </c>
      <c r="C34" t="s">
        <v>24</v>
      </c>
      <c r="AH34" t="str">
        <f t="shared" ref="AH34:AQ34" si="18">IF($C$34="running","P","")</f>
        <v>P</v>
      </c>
      <c r="AI34" t="str">
        <f t="shared" si="18"/>
        <v>P</v>
      </c>
      <c r="AJ34" t="str">
        <f t="shared" si="18"/>
        <v>P</v>
      </c>
      <c r="AK34" t="str">
        <f t="shared" si="18"/>
        <v>P</v>
      </c>
      <c r="AL34" t="str">
        <f t="shared" si="18"/>
        <v>P</v>
      </c>
      <c r="AM34" t="str">
        <f t="shared" si="18"/>
        <v>P</v>
      </c>
      <c r="AN34" t="str">
        <f t="shared" si="18"/>
        <v>P</v>
      </c>
      <c r="AO34" t="str">
        <f t="shared" si="18"/>
        <v>P</v>
      </c>
      <c r="AP34" t="str">
        <f t="shared" si="18"/>
        <v>P</v>
      </c>
      <c r="AQ34" t="str">
        <f t="shared" si="18"/>
        <v>P</v>
      </c>
      <c r="AR34" t="str">
        <f t="shared" ref="AR34:BA34" si="19">IF($C$34="running","B","")</f>
        <v>B</v>
      </c>
      <c r="AS34" t="str">
        <f t="shared" si="19"/>
        <v>B</v>
      </c>
      <c r="AT34" t="str">
        <f t="shared" si="19"/>
        <v>B</v>
      </c>
      <c r="AU34" t="str">
        <f t="shared" si="19"/>
        <v>B</v>
      </c>
      <c r="AV34" t="str">
        <f t="shared" si="19"/>
        <v>B</v>
      </c>
      <c r="AW34" t="str">
        <f t="shared" si="19"/>
        <v>B</v>
      </c>
      <c r="AX34" t="str">
        <f t="shared" si="19"/>
        <v>B</v>
      </c>
      <c r="AY34" t="str">
        <f t="shared" si="19"/>
        <v>B</v>
      </c>
      <c r="AZ34" s="6" t="str">
        <f t="shared" si="19"/>
        <v>B</v>
      </c>
      <c r="BA34" s="9" t="str">
        <f t="shared" si="19"/>
        <v>B</v>
      </c>
    </row>
    <row r="35" spans="1:63" x14ac:dyDescent="0.25">
      <c r="A35" s="97"/>
      <c r="B35" t="s">
        <v>96</v>
      </c>
      <c r="C35" t="s">
        <v>24</v>
      </c>
      <c r="AR35" t="str">
        <f t="shared" ref="AR35:BA35" si="20">IF($C$35="running","P","")</f>
        <v>P</v>
      </c>
      <c r="AS35" t="str">
        <f t="shared" si="20"/>
        <v>P</v>
      </c>
      <c r="AT35" t="str">
        <f t="shared" si="20"/>
        <v>P</v>
      </c>
      <c r="AU35" t="str">
        <f t="shared" si="20"/>
        <v>P</v>
      </c>
      <c r="AV35" t="str">
        <f t="shared" si="20"/>
        <v>P</v>
      </c>
      <c r="AW35" t="str">
        <f t="shared" si="20"/>
        <v>P</v>
      </c>
      <c r="AX35" t="str">
        <f t="shared" si="20"/>
        <v>P</v>
      </c>
      <c r="AY35" t="str">
        <f t="shared" si="20"/>
        <v>P</v>
      </c>
      <c r="AZ35" s="6" t="str">
        <f t="shared" si="20"/>
        <v>P</v>
      </c>
      <c r="BA35" s="9" t="str">
        <f t="shared" si="20"/>
        <v>P</v>
      </c>
      <c r="BB35" t="str">
        <f t="shared" ref="BB35:BK35" si="21">IF($C$35="running","B","")</f>
        <v>B</v>
      </c>
      <c r="BC35" t="str">
        <f t="shared" si="21"/>
        <v>B</v>
      </c>
      <c r="BD35" t="str">
        <f t="shared" si="21"/>
        <v>B</v>
      </c>
      <c r="BE35" t="str">
        <f t="shared" si="21"/>
        <v>B</v>
      </c>
      <c r="BF35" t="str">
        <f t="shared" si="21"/>
        <v>B</v>
      </c>
      <c r="BG35" t="str">
        <f t="shared" si="21"/>
        <v>B</v>
      </c>
      <c r="BH35" t="str">
        <f t="shared" si="21"/>
        <v>B</v>
      </c>
      <c r="BI35" t="str">
        <f t="shared" si="21"/>
        <v>B</v>
      </c>
      <c r="BJ35" t="str">
        <f t="shared" si="21"/>
        <v>B</v>
      </c>
      <c r="BK35" t="str">
        <f t="shared" si="21"/>
        <v>B</v>
      </c>
    </row>
    <row r="36" spans="1:63" x14ac:dyDescent="0.25">
      <c r="A36" s="97"/>
      <c r="B36" t="s">
        <v>97</v>
      </c>
      <c r="C36" t="s">
        <v>24</v>
      </c>
      <c r="D36" t="str">
        <f t="shared" ref="D36:M36" si="22">IF($C$36="running","B","")</f>
        <v>B</v>
      </c>
      <c r="E36" t="str">
        <f t="shared" si="22"/>
        <v>B</v>
      </c>
      <c r="F36" t="str">
        <f t="shared" si="22"/>
        <v>B</v>
      </c>
      <c r="G36" t="str">
        <f t="shared" si="22"/>
        <v>B</v>
      </c>
      <c r="H36" t="str">
        <f t="shared" si="22"/>
        <v>B</v>
      </c>
      <c r="I36" t="str">
        <f t="shared" si="22"/>
        <v>B</v>
      </c>
      <c r="J36" t="str">
        <f t="shared" si="22"/>
        <v>B</v>
      </c>
      <c r="K36" t="str">
        <f t="shared" si="22"/>
        <v>B</v>
      </c>
      <c r="L36" t="str">
        <f t="shared" si="22"/>
        <v>B</v>
      </c>
      <c r="M36" t="str">
        <f t="shared" si="22"/>
        <v>B</v>
      </c>
      <c r="AZ36" s="6"/>
      <c r="BA36" s="9"/>
      <c r="BB36" t="str">
        <f t="shared" ref="BB36:BK36" si="23">IF($C$36="running","P","")</f>
        <v>P</v>
      </c>
      <c r="BC36" t="str">
        <f t="shared" si="23"/>
        <v>P</v>
      </c>
      <c r="BD36" t="str">
        <f t="shared" si="23"/>
        <v>P</v>
      </c>
      <c r="BE36" t="str">
        <f t="shared" si="23"/>
        <v>P</v>
      </c>
      <c r="BF36" t="str">
        <f t="shared" si="23"/>
        <v>P</v>
      </c>
      <c r="BG36" t="str">
        <f t="shared" si="23"/>
        <v>P</v>
      </c>
      <c r="BH36" t="str">
        <f t="shared" si="23"/>
        <v>P</v>
      </c>
      <c r="BI36" t="str">
        <f t="shared" si="23"/>
        <v>P</v>
      </c>
      <c r="BJ36" t="str">
        <f t="shared" si="23"/>
        <v>P</v>
      </c>
      <c r="BK36" t="str">
        <f t="shared" si="23"/>
        <v>P</v>
      </c>
    </row>
    <row r="37" spans="1:63" x14ac:dyDescent="0.25">
      <c r="A37" s="97"/>
      <c r="B37" s="101" t="s">
        <v>25</v>
      </c>
      <c r="C37" s="3">
        <f>SUM($D$37:$BK$37)</f>
        <v>50</v>
      </c>
      <c r="D37">
        <f>IF(COUNTBLANK($D$31:$D$36)=6,0,1)</f>
        <v>1</v>
      </c>
      <c r="E37">
        <f>IF(COUNTBLANK($E$31:$E$36)=6,0,1)</f>
        <v>1</v>
      </c>
      <c r="F37">
        <f>IF(COUNTBLANK($F$31:$F$36)=6,0,1)</f>
        <v>1</v>
      </c>
      <c r="G37">
        <f>IF(COUNTBLANK($G$31:$G$36)=6,0,1)</f>
        <v>1</v>
      </c>
      <c r="H37">
        <f>IF(COUNTBLANK($H$31:$H$36)=6,0,1)</f>
        <v>1</v>
      </c>
      <c r="I37">
        <f>IF(COUNTBLANK($I$31:$I$36)=6,0,1)</f>
        <v>1</v>
      </c>
      <c r="J37">
        <f>IF(COUNTBLANK($J$31:$J$36)=6,0,1)</f>
        <v>1</v>
      </c>
      <c r="K37">
        <f>IF(COUNTBLANK($K$31:$K$36)=6,0,1)</f>
        <v>1</v>
      </c>
      <c r="L37">
        <f>IF(COUNTBLANK($L$31:$L$36)=6,0,1)</f>
        <v>1</v>
      </c>
      <c r="M37">
        <f>IF(COUNTBLANK($M$31:$M$36)=6,0,1)</f>
        <v>1</v>
      </c>
      <c r="N37">
        <f>IF(COUNTBLANK($N$31:$N$36)=6,0,1)</f>
        <v>0</v>
      </c>
      <c r="O37">
        <f>IF(COUNTBLANK($O$31:$O$36)=6,0,1)</f>
        <v>0</v>
      </c>
      <c r="P37">
        <f>IF(COUNTBLANK($P$31:$P$36)=6,0,1)</f>
        <v>0</v>
      </c>
      <c r="Q37">
        <f>IF(COUNTBLANK($Q$31:$Q$36)=6,0,1)</f>
        <v>0</v>
      </c>
      <c r="R37">
        <f>IF(COUNTBLANK($R$31:$R$36)=6,0,1)</f>
        <v>0</v>
      </c>
      <c r="S37">
        <f>IF(COUNTBLANK($S$31:$S$36)=6,0,1)</f>
        <v>0</v>
      </c>
      <c r="T37">
        <f>IF(COUNTBLANK($T$31:$T$36)=6,0,1)</f>
        <v>0</v>
      </c>
      <c r="U37">
        <f>IF(COUNTBLANK($U$31:$U$36)=6,0,1)</f>
        <v>0</v>
      </c>
      <c r="V37">
        <f>IF(COUNTBLANK($V$31:$V$36)=6,0,1)</f>
        <v>0</v>
      </c>
      <c r="W37">
        <f>IF(COUNTBLANK($W$31:$W$36)=6,0,1)</f>
        <v>0</v>
      </c>
      <c r="X37">
        <f>IF(COUNTBLANK($X$31:$X$36)=6,0,1)</f>
        <v>1</v>
      </c>
      <c r="Y37">
        <f>IF(COUNTBLANK($Y$31:$Y$36)=6,0,1)</f>
        <v>1</v>
      </c>
      <c r="Z37">
        <f>IF(COUNTBLANK($Z$31:$Z$36)=6,0,1)</f>
        <v>1</v>
      </c>
      <c r="AA37">
        <f>IF(COUNTBLANK($AA$31:$AA$36)=6,0,1)</f>
        <v>1</v>
      </c>
      <c r="AB37">
        <f>IF(COUNTBLANK($AB$31:$AB$36)=6,0,1)</f>
        <v>1</v>
      </c>
      <c r="AC37">
        <f>IF(COUNTBLANK($AC$31:$AC$36)=6,0,1)</f>
        <v>1</v>
      </c>
      <c r="AD37">
        <f>IF(COUNTBLANK($AD$31:$AD$36)=6,0,1)</f>
        <v>1</v>
      </c>
      <c r="AE37">
        <f>IF(COUNTBLANK($AE$31:$AE$36)=6,0,1)</f>
        <v>1</v>
      </c>
      <c r="AF37">
        <f>IF(COUNTBLANK($AF$31:$AF$36)=6,0,1)</f>
        <v>1</v>
      </c>
      <c r="AG37">
        <f>IF(COUNTBLANK($AG$31:$AG$36)=6,0,1)</f>
        <v>1</v>
      </c>
      <c r="AH37">
        <f>IF(COUNTBLANK($AH$31:$AH$36)=6,0,1)</f>
        <v>1</v>
      </c>
      <c r="AI37">
        <f>IF(COUNTBLANK($AI$31:$AI$36)=6,0,1)</f>
        <v>1</v>
      </c>
      <c r="AJ37">
        <f>IF(COUNTBLANK($AJ$31:$AJ$36)=6,0,1)</f>
        <v>1</v>
      </c>
      <c r="AK37">
        <f>IF(COUNTBLANK($AK$31:$AK$36)=6,0,1)</f>
        <v>1</v>
      </c>
      <c r="AL37">
        <f>IF(COUNTBLANK($AL$31:$AL$36)=6,0,1)</f>
        <v>1</v>
      </c>
      <c r="AM37">
        <f>IF(COUNTBLANK($AM$31:$AM$36)=6,0,1)</f>
        <v>1</v>
      </c>
      <c r="AN37">
        <f>IF(COUNTBLANK($AN$31:$AN$36)=6,0,1)</f>
        <v>1</v>
      </c>
      <c r="AO37">
        <f>IF(COUNTBLANK($AO$31:$AO$36)=6,0,1)</f>
        <v>1</v>
      </c>
      <c r="AP37">
        <f>IF(COUNTBLANK($AP$31:$AP$36)=6,0,1)</f>
        <v>1</v>
      </c>
      <c r="AQ37">
        <f>IF(COUNTBLANK($AQ$31:$AQ$36)=6,0,1)</f>
        <v>1</v>
      </c>
      <c r="AR37">
        <f>IF(COUNTBLANK($AR$31:$AR$36)=6,0,1)</f>
        <v>1</v>
      </c>
      <c r="AS37">
        <f>IF(COUNTBLANK($AS$31:$AS$36)=6,0,1)</f>
        <v>1</v>
      </c>
      <c r="AT37">
        <f>IF(COUNTBLANK($AT$31:$AT$36)=6,0,1)</f>
        <v>1</v>
      </c>
      <c r="AU37">
        <f>IF(COUNTBLANK($AU$31:$AU$36)=6,0,1)</f>
        <v>1</v>
      </c>
      <c r="AV37">
        <f>IF(COUNTBLANK($AV$31:$AV$36)=6,0,1)</f>
        <v>1</v>
      </c>
      <c r="AW37">
        <f>IF(COUNTBLANK($AW$31:$AW$36)=6,0,1)</f>
        <v>1</v>
      </c>
      <c r="AX37">
        <f>IF(COUNTBLANK($AX$31:$AX$36)=6,0,1)</f>
        <v>1</v>
      </c>
      <c r="AY37">
        <f>IF(COUNTBLANK($AY$31:$AY$36)=6,0,1)</f>
        <v>1</v>
      </c>
      <c r="AZ37" s="6">
        <f>IF(COUNTBLANK($AZ$31:$AZ$36)=6,0,1)</f>
        <v>1</v>
      </c>
      <c r="BA37" s="9">
        <f>IF(COUNTBLANK($BA$31:$BA$36)=6,0,1)</f>
        <v>1</v>
      </c>
      <c r="BB37">
        <f>IF(COUNTBLANK($BB$31:$BB$36)=6,0,1)</f>
        <v>1</v>
      </c>
      <c r="BC37">
        <f>IF(COUNTBLANK($BC$31:$BC$36)=6,0,1)</f>
        <v>1</v>
      </c>
      <c r="BD37">
        <f>IF(COUNTBLANK($BD$31:$BD$36)=6,0,1)</f>
        <v>1</v>
      </c>
      <c r="BE37">
        <f>IF(COUNTBLANK($BE$31:$BE$36)=6,0,1)</f>
        <v>1</v>
      </c>
      <c r="BF37">
        <f>IF(COUNTBLANK($BF$31:$BF$36)=6,0,1)</f>
        <v>1</v>
      </c>
      <c r="BG37">
        <f>IF(COUNTBLANK($BG$31:$BG$36)=6,0,1)</f>
        <v>1</v>
      </c>
      <c r="BH37">
        <f>IF(COUNTBLANK($BH$31:$BH$36)=6,0,1)</f>
        <v>1</v>
      </c>
      <c r="BI37">
        <f>IF(COUNTBLANK($BI$31:$BI$36)=6,0,1)</f>
        <v>1</v>
      </c>
      <c r="BJ37">
        <f>IF(COUNTBLANK($BJ$31:$BJ$36)=6,0,1)</f>
        <v>1</v>
      </c>
      <c r="BK37">
        <f>IF(COUNTBLANK($BK$31:$BK$36)=6,0,1)</f>
        <v>1</v>
      </c>
    </row>
    <row r="38" spans="1:63" x14ac:dyDescent="0.25">
      <c r="A38" s="97"/>
      <c r="B38" s="101"/>
      <c r="C38" s="7">
        <f>$C$37/60</f>
        <v>0.83333333333333337</v>
      </c>
    </row>
    <row r="39" spans="1:63" x14ac:dyDescent="0.25">
      <c r="A39" s="97"/>
      <c r="B39" s="101" t="s">
        <v>28</v>
      </c>
      <c r="C39" s="3">
        <f>60-(SUM($D$37:$BK$37))</f>
        <v>10</v>
      </c>
    </row>
    <row r="40" spans="1:63" x14ac:dyDescent="0.25">
      <c r="A40" s="97"/>
      <c r="B40" s="101"/>
      <c r="C40" s="7">
        <f>$C$39/60</f>
        <v>0.16666666666666666</v>
      </c>
    </row>
    <row r="41" spans="1:63" x14ac:dyDescent="0.25">
      <c r="A41" s="97"/>
      <c r="B41" s="2" t="s">
        <v>91</v>
      </c>
      <c r="C41" s="10" t="str">
        <f>IF($C$37&gt;=50,"YES","NO")</f>
        <v>YES</v>
      </c>
    </row>
    <row r="42" spans="1:63" x14ac:dyDescent="0.25">
      <c r="A42" s="97"/>
      <c r="B42" s="101" t="s">
        <v>27</v>
      </c>
      <c r="C42" s="3">
        <f>COUNTIF($C$31:$C$36,"running")</f>
        <v>4</v>
      </c>
    </row>
    <row r="43" spans="1:63" x14ac:dyDescent="0.25">
      <c r="A43" s="97"/>
      <c r="B43" s="101"/>
      <c r="C43" s="7">
        <f>$C$42/6</f>
        <v>0.66666666666666663</v>
      </c>
    </row>
    <row r="44" spans="1:63" x14ac:dyDescent="0.25">
      <c r="A44" s="97"/>
      <c r="B44" s="101" t="s">
        <v>29</v>
      </c>
      <c r="C44" s="3">
        <f>COUNTIF($C$31:$C$36,"failing")</f>
        <v>2</v>
      </c>
    </row>
    <row r="45" spans="1:63" x14ac:dyDescent="0.25">
      <c r="A45" s="97"/>
      <c r="B45" s="101"/>
      <c r="C45" s="7">
        <f>$C$44/6</f>
        <v>0.33333333333333331</v>
      </c>
    </row>
    <row r="46" spans="1:63" x14ac:dyDescent="0.25">
      <c r="A46" s="97"/>
      <c r="B46" s="101" t="s">
        <v>30</v>
      </c>
      <c r="C46" s="3">
        <f>COUNTIF($D$31:$BK$36,"P")+COUNTIF($D$31:$BK$36,"B")</f>
        <v>80</v>
      </c>
    </row>
    <row r="47" spans="1:63" x14ac:dyDescent="0.25">
      <c r="A47" s="97"/>
      <c r="B47" s="101"/>
      <c r="C47" s="7">
        <f>$C$46/120</f>
        <v>0.66666666666666663</v>
      </c>
    </row>
    <row r="48" spans="1:63" x14ac:dyDescent="0.25">
      <c r="A48" s="97"/>
      <c r="B48" s="101" t="s">
        <v>31</v>
      </c>
      <c r="C48" s="3">
        <f>120-(COUNTIF($D$31:$BK$36,"P")+COUNTIF($D$31:$BK$36,"B"))</f>
        <v>40</v>
      </c>
    </row>
    <row r="49" spans="1:63" x14ac:dyDescent="0.25">
      <c r="A49" s="97"/>
      <c r="B49" s="101"/>
      <c r="C49" s="7">
        <f>$C$48/120</f>
        <v>0.33333333333333331</v>
      </c>
    </row>
    <row r="51" spans="1:63" ht="23.25" x14ac:dyDescent="0.35">
      <c r="B51" s="4" t="str">
        <f>"DTKA configuration with 6 distributed key authority nodes ("&amp;COUNTIF($C$56:$C$61,"failing")&amp;" failing node(s)):"</f>
        <v>DTKA configuration with 6 distributed key authority nodes (3 failing node(s)):</v>
      </c>
    </row>
    <row r="52" spans="1:63" x14ac:dyDescent="0.25">
      <c r="A52" s="97" t="s">
        <v>120</v>
      </c>
      <c r="D52" s="98" t="s">
        <v>93</v>
      </c>
      <c r="E52" s="99"/>
      <c r="F52" s="99"/>
      <c r="G52" s="99"/>
      <c r="H52" s="99"/>
      <c r="I52" s="99"/>
      <c r="J52" s="99"/>
      <c r="K52" s="99"/>
      <c r="L52" s="99"/>
      <c r="M52" s="99"/>
      <c r="N52" s="99"/>
      <c r="O52" s="99"/>
      <c r="P52" s="99"/>
      <c r="Q52" s="99"/>
      <c r="R52" s="99"/>
      <c r="S52" s="99"/>
      <c r="T52" s="99"/>
      <c r="U52" s="99"/>
      <c r="V52" s="99"/>
      <c r="W52" s="99"/>
      <c r="X52" s="99"/>
      <c r="Y52" s="99"/>
      <c r="Z52" s="99"/>
      <c r="AA52" s="99"/>
      <c r="AB52" s="99"/>
      <c r="AC52" s="99"/>
      <c r="AD52" s="99"/>
      <c r="AE52" s="99"/>
      <c r="AF52" s="99"/>
      <c r="AG52" s="99"/>
      <c r="AH52" s="99"/>
      <c r="AI52" s="99"/>
      <c r="AJ52" s="99"/>
      <c r="AK52" s="99"/>
      <c r="AL52" s="99"/>
      <c r="AM52" s="99"/>
      <c r="AN52" s="99"/>
      <c r="AO52" s="99"/>
      <c r="AP52" s="99"/>
      <c r="AQ52" s="99"/>
      <c r="AR52" s="99"/>
      <c r="AS52" s="99"/>
      <c r="AT52" s="99"/>
      <c r="AU52" s="99"/>
      <c r="AV52" s="99"/>
      <c r="AW52" s="99"/>
      <c r="AX52" s="99"/>
      <c r="AY52" s="99"/>
      <c r="AZ52" s="99"/>
      <c r="BA52" s="100"/>
      <c r="BB52" s="98" t="s">
        <v>99</v>
      </c>
      <c r="BC52" s="99"/>
      <c r="BD52" s="99"/>
      <c r="BE52" s="99"/>
      <c r="BF52" s="99"/>
      <c r="BG52" s="99"/>
      <c r="BH52" s="99"/>
      <c r="BI52" s="99"/>
      <c r="BJ52" s="99"/>
      <c r="BK52" s="100"/>
    </row>
    <row r="53" spans="1:63" x14ac:dyDescent="0.25">
      <c r="A53" s="97"/>
      <c r="B53" t="s">
        <v>20</v>
      </c>
      <c r="D53">
        <v>0</v>
      </c>
      <c r="E53">
        <v>1</v>
      </c>
      <c r="F53">
        <v>2</v>
      </c>
      <c r="G53">
        <v>3</v>
      </c>
      <c r="H53">
        <v>4</v>
      </c>
      <c r="I53">
        <v>5</v>
      </c>
      <c r="J53">
        <v>6</v>
      </c>
      <c r="K53">
        <v>7</v>
      </c>
      <c r="L53">
        <v>8</v>
      </c>
      <c r="M53">
        <v>9</v>
      </c>
      <c r="N53">
        <v>10</v>
      </c>
      <c r="O53">
        <v>11</v>
      </c>
      <c r="P53">
        <v>12</v>
      </c>
      <c r="Q53">
        <v>13</v>
      </c>
      <c r="R53">
        <v>14</v>
      </c>
      <c r="S53">
        <v>15</v>
      </c>
      <c r="T53">
        <v>16</v>
      </c>
      <c r="U53">
        <v>17</v>
      </c>
      <c r="V53">
        <v>18</v>
      </c>
      <c r="W53">
        <v>19</v>
      </c>
      <c r="X53">
        <v>20</v>
      </c>
      <c r="Y53">
        <v>21</v>
      </c>
      <c r="Z53">
        <v>22</v>
      </c>
      <c r="AA53">
        <v>23</v>
      </c>
      <c r="AB53">
        <v>24</v>
      </c>
      <c r="AC53">
        <v>25</v>
      </c>
      <c r="AD53">
        <v>26</v>
      </c>
      <c r="AE53">
        <v>27</v>
      </c>
      <c r="AF53">
        <v>28</v>
      </c>
      <c r="AG53">
        <v>29</v>
      </c>
      <c r="AH53">
        <v>30</v>
      </c>
      <c r="AI53">
        <v>31</v>
      </c>
      <c r="AJ53">
        <v>32</v>
      </c>
      <c r="AK53">
        <v>33</v>
      </c>
      <c r="AL53">
        <v>34</v>
      </c>
      <c r="AM53">
        <v>35</v>
      </c>
      <c r="AN53">
        <v>36</v>
      </c>
      <c r="AO53">
        <v>37</v>
      </c>
      <c r="AP53">
        <v>38</v>
      </c>
      <c r="AQ53">
        <v>39</v>
      </c>
      <c r="AR53">
        <v>40</v>
      </c>
      <c r="AS53">
        <v>41</v>
      </c>
      <c r="AT53">
        <v>42</v>
      </c>
      <c r="AU53">
        <v>43</v>
      </c>
      <c r="AV53">
        <v>44</v>
      </c>
      <c r="AW53">
        <v>45</v>
      </c>
      <c r="AX53">
        <v>46</v>
      </c>
      <c r="AY53">
        <v>47</v>
      </c>
      <c r="AZ53">
        <v>48</v>
      </c>
      <c r="BA53">
        <v>49</v>
      </c>
      <c r="BB53">
        <v>0</v>
      </c>
      <c r="BC53">
        <v>1</v>
      </c>
      <c r="BD53">
        <v>2</v>
      </c>
      <c r="BE53">
        <v>3</v>
      </c>
      <c r="BF53">
        <v>4</v>
      </c>
      <c r="BG53">
        <v>5</v>
      </c>
      <c r="BH53">
        <v>6</v>
      </c>
      <c r="BI53">
        <v>7</v>
      </c>
      <c r="BJ53">
        <v>8</v>
      </c>
      <c r="BK53">
        <v>9</v>
      </c>
    </row>
    <row r="54" spans="1:63" x14ac:dyDescent="0.25">
      <c r="A54" s="97"/>
      <c r="B54" t="s">
        <v>21</v>
      </c>
      <c r="D54" s="43">
        <v>0</v>
      </c>
      <c r="E54" s="43">
        <v>1</v>
      </c>
      <c r="F54" s="43">
        <v>2</v>
      </c>
      <c r="G54" s="43">
        <v>3</v>
      </c>
      <c r="H54" s="43">
        <v>4</v>
      </c>
      <c r="I54" s="43">
        <v>5</v>
      </c>
      <c r="J54" s="43">
        <v>6</v>
      </c>
      <c r="K54" s="43">
        <v>7</v>
      </c>
      <c r="L54" s="43">
        <v>8</v>
      </c>
      <c r="M54" s="43">
        <v>9</v>
      </c>
      <c r="N54" s="43">
        <v>10</v>
      </c>
      <c r="O54" s="43">
        <v>11</v>
      </c>
      <c r="P54" s="43">
        <v>12</v>
      </c>
      <c r="Q54" s="43">
        <v>13</v>
      </c>
      <c r="R54" s="43">
        <v>14</v>
      </c>
      <c r="S54" s="43">
        <v>15</v>
      </c>
      <c r="T54" s="43">
        <v>16</v>
      </c>
      <c r="U54" s="43">
        <v>17</v>
      </c>
      <c r="V54" s="43">
        <v>18</v>
      </c>
      <c r="W54" s="43">
        <v>19</v>
      </c>
      <c r="X54" s="43">
        <v>20</v>
      </c>
      <c r="Y54" s="43">
        <v>21</v>
      </c>
      <c r="Z54" s="43">
        <v>22</v>
      </c>
      <c r="AA54" s="43">
        <v>23</v>
      </c>
      <c r="AB54" s="43">
        <v>24</v>
      </c>
      <c r="AC54" s="43">
        <v>25</v>
      </c>
      <c r="AD54" s="43">
        <v>26</v>
      </c>
      <c r="AE54" s="43">
        <v>27</v>
      </c>
      <c r="AF54" s="43">
        <v>28</v>
      </c>
      <c r="AG54" s="43">
        <v>29</v>
      </c>
      <c r="AH54" s="43">
        <v>30</v>
      </c>
      <c r="AI54" s="43">
        <v>31</v>
      </c>
      <c r="AJ54" s="43">
        <v>32</v>
      </c>
      <c r="AK54" s="43">
        <v>33</v>
      </c>
      <c r="AL54" s="43">
        <v>34</v>
      </c>
      <c r="AM54" s="43">
        <v>35</v>
      </c>
      <c r="AN54" s="43">
        <v>36</v>
      </c>
      <c r="AO54" s="43">
        <v>37</v>
      </c>
      <c r="AP54" s="43">
        <v>38</v>
      </c>
      <c r="AQ54" s="43">
        <v>39</v>
      </c>
      <c r="AR54" s="43">
        <v>40</v>
      </c>
      <c r="AS54" s="43">
        <v>41</v>
      </c>
      <c r="AT54" s="43">
        <v>42</v>
      </c>
      <c r="AU54" s="43">
        <v>43</v>
      </c>
      <c r="AV54" s="43">
        <v>44</v>
      </c>
      <c r="AW54" s="43">
        <v>45</v>
      </c>
      <c r="AX54" s="43">
        <v>46</v>
      </c>
      <c r="AY54" s="43">
        <v>47</v>
      </c>
      <c r="AZ54" s="5">
        <v>48</v>
      </c>
      <c r="BA54" s="8">
        <v>49</v>
      </c>
      <c r="BB54" s="43">
        <v>50</v>
      </c>
      <c r="BC54" s="43">
        <v>51</v>
      </c>
      <c r="BD54" s="43">
        <v>52</v>
      </c>
      <c r="BE54" s="43">
        <v>53</v>
      </c>
      <c r="BF54" s="43">
        <v>54</v>
      </c>
      <c r="BG54" s="43">
        <v>55</v>
      </c>
      <c r="BH54" s="43">
        <v>56</v>
      </c>
      <c r="BI54" s="43">
        <v>57</v>
      </c>
      <c r="BJ54" s="43">
        <v>58</v>
      </c>
      <c r="BK54" s="43">
        <v>59</v>
      </c>
    </row>
    <row r="55" spans="1:63" x14ac:dyDescent="0.25">
      <c r="A55" s="97"/>
      <c r="B55" t="s">
        <v>98</v>
      </c>
      <c r="D55">
        <f>IF(AND(COUNTIF($D$56:$D$62,"P")=1,COUNTIF($D$56:$D$62,"B")=DTKA_FEC_OVERLAP),1,0)</f>
        <v>0</v>
      </c>
      <c r="E55">
        <f>IF(AND(COUNTIF($E$56:$E$62,"P")=1,COUNTIF($E$56:$E$62,"B")=DTKA_FEC_OVERLAP),1,0)</f>
        <v>0</v>
      </c>
      <c r="F55">
        <f>IF(AND(COUNTIF($F$56:$F$62,"P")=1,COUNTIF($F$56:$F$62,"B")=DTKA_FEC_OVERLAP),1,0)</f>
        <v>0</v>
      </c>
      <c r="G55">
        <f>IF(AND(COUNTIF($G$56:$G$62,"P")=1,COUNTIF($G$56:$G$62,"B")=DTKA_FEC_OVERLAP),1,0)</f>
        <v>0</v>
      </c>
      <c r="H55">
        <f>IF(AND(COUNTIF($H$56:$H$62,"P")=1,COUNTIF($H$56:$H$62,"B")=DTKA_FEC_OVERLAP),1,0)</f>
        <v>0</v>
      </c>
      <c r="I55">
        <f>IF(AND(COUNTIF($I$56:$I$62,"P")=1,COUNTIF($I$56:$I$62,"B")=DTKA_FEC_OVERLAP),1,0)</f>
        <v>0</v>
      </c>
      <c r="J55">
        <f>IF(AND(COUNTIF($J$56:$J$62,"P")=1,COUNTIF($J$56:$J$62,"B")=DTKA_FEC_OVERLAP),1,0)</f>
        <v>0</v>
      </c>
      <c r="K55">
        <f>IF(AND(COUNTIF($K$56:$K$62,"P")=1,COUNTIF($K$56:$K$62,"B")=DTKA_FEC_OVERLAP),1,0)</f>
        <v>0</v>
      </c>
      <c r="L55">
        <f>IF(AND(COUNTIF($L$56:$L$62,"P")=1,COUNTIF($L$56:$L$62,"B")=DTKA_FEC_OVERLAP),1,0)</f>
        <v>0</v>
      </c>
      <c r="M55">
        <f>IF(AND(COUNTIF($M$56:$M$62,"P")=1,COUNTIF($M$56:$M$62,"B")=DTKA_FEC_OVERLAP),1,0)</f>
        <v>0</v>
      </c>
      <c r="N55">
        <f>IF(AND(COUNTIF($N$56:$N$62,"P")=1,COUNTIF($N$56:$N$62,"B")=DTKA_FEC_OVERLAP),1,0)</f>
        <v>0</v>
      </c>
      <c r="O55">
        <f>IF(AND(COUNTIF($O$56:$O$62,"P")=1,COUNTIF($O$56:$O$62,"B")=DTKA_FEC_OVERLAP),1,0)</f>
        <v>0</v>
      </c>
      <c r="P55">
        <f>IF(AND(COUNTIF($P$56:$P$62,"P")=1,COUNTIF($P$56:$P$62,"B")=DTKA_FEC_OVERLAP),1,0)</f>
        <v>0</v>
      </c>
      <c r="Q55">
        <f>IF(AND(COUNTIF($Q$56:$Q$62,"P")=1,COUNTIF($Q$56:$Q$62,"B")=DTKA_FEC_OVERLAP),1,0)</f>
        <v>0</v>
      </c>
      <c r="R55">
        <f>IF(AND(COUNTIF($R$56:$R$62,"P")=1,COUNTIF($R$56:$R$62,"B")=DTKA_FEC_OVERLAP),1,0)</f>
        <v>0</v>
      </c>
      <c r="S55">
        <f>IF(AND(COUNTIF($S$56:$S$62,"P")=1,COUNTIF($S$56:$S$62,"B")=DTKA_FEC_OVERLAP),1,0)</f>
        <v>0</v>
      </c>
      <c r="T55">
        <f>IF(AND(COUNTIF($T$56:$T$62,"P")=1,COUNTIF($T$56:$T$62,"B")=DTKA_FEC_OVERLAP),1,0)</f>
        <v>0</v>
      </c>
      <c r="U55">
        <f>IF(AND(COUNTIF($U$56:$U$62,"P")=1,COUNTIF($U$56:$U$62,"B")=DTKA_FEC_OVERLAP),1,0)</f>
        <v>0</v>
      </c>
      <c r="V55">
        <f>IF(AND(COUNTIF($V$56:$V$62,"P")=1,COUNTIF($V$56:$V$62,"B")=DTKA_FEC_OVERLAP),1,0)</f>
        <v>0</v>
      </c>
      <c r="W55">
        <f>IF(AND(COUNTIF($W$56:$W$62,"P")=1,COUNTIF($W$56:$W$62,"B")=DTKA_FEC_OVERLAP),1,0)</f>
        <v>0</v>
      </c>
      <c r="X55">
        <f>IF(AND(COUNTIF($X$56:$X$62,"P")=1,COUNTIF($X$56:$X$62,"B")=DTKA_FEC_OVERLAP),1,0)</f>
        <v>0</v>
      </c>
      <c r="Y55">
        <f>IF(AND(COUNTIF($Y$56:$Y$62,"P")=1,COUNTIF($Y$56:$Y$62,"B")=DTKA_FEC_OVERLAP),1,0)</f>
        <v>0</v>
      </c>
      <c r="Z55">
        <f>IF(AND(COUNTIF($Z$56:$Z$62,"P")=1,COUNTIF($Z$56:$Z$62,"B")=DTKA_FEC_OVERLAP),1,0)</f>
        <v>0</v>
      </c>
      <c r="AA55">
        <f>IF(AND(COUNTIF($AA$56:$AA$62,"P")=1,COUNTIF($AA$56:$AA$62,"B")=DTKA_FEC_OVERLAP),1,0)</f>
        <v>0</v>
      </c>
      <c r="AB55">
        <f>IF(AND(COUNTIF($AB$56:$AB$62,"P")=1,COUNTIF($AB$56:$AB$62,"B")=DTKA_FEC_OVERLAP),1,0)</f>
        <v>0</v>
      </c>
      <c r="AC55">
        <f>IF(AND(COUNTIF($AC$56:$AC$62,"P")=1,COUNTIF($AC$56:$AC$62,"B")=DTKA_FEC_OVERLAP),1,0)</f>
        <v>0</v>
      </c>
      <c r="AD55">
        <f>IF(AND(COUNTIF($AD$56:$AD$62,"P")=1,COUNTIF($AD$56:$AD$62,"B")=DTKA_FEC_OVERLAP),1,0)</f>
        <v>0</v>
      </c>
      <c r="AE55">
        <f>IF(AND(COUNTIF($AE$56:$AE$62,"P")=1,COUNTIF($AE$56:$AE$62,"B")=DTKA_FEC_OVERLAP),1,0)</f>
        <v>0</v>
      </c>
      <c r="AF55">
        <f>IF(AND(COUNTIF($AF$56:$AF$62,"P")=1,COUNTIF($AF$56:$AF$62,"B")=DTKA_FEC_OVERLAP),1,0)</f>
        <v>0</v>
      </c>
      <c r="AG55">
        <f>IF(AND(COUNTIF($AG$56:$AG$62,"P")=1,COUNTIF($AG$56:$AG$62,"B")=DTKA_FEC_OVERLAP),1,0)</f>
        <v>0</v>
      </c>
      <c r="AH55">
        <f>IF(AND(COUNTIF($AH$56:$AH$62,"P")=1,COUNTIF($AH$56:$AH$62,"B")=DTKA_FEC_OVERLAP),1,0)</f>
        <v>0</v>
      </c>
      <c r="AI55">
        <f>IF(AND(COUNTIF($AI$56:$AI$62,"P")=1,COUNTIF($AI$56:$AI$62,"B")=DTKA_FEC_OVERLAP),1,0)</f>
        <v>0</v>
      </c>
      <c r="AJ55">
        <f>IF(AND(COUNTIF($AJ$56:$AJ$62,"P")=1,COUNTIF($AJ$56:$AJ$62,"B")=DTKA_FEC_OVERLAP),1,0)</f>
        <v>0</v>
      </c>
      <c r="AK55">
        <f>IF(AND(COUNTIF($AK$56:$AK$62,"P")=1,COUNTIF($AK$56:$AK$62,"B")=DTKA_FEC_OVERLAP),1,0)</f>
        <v>0</v>
      </c>
      <c r="AL55">
        <f>IF(AND(COUNTIF($AL$56:$AL$62,"P")=1,COUNTIF($AL$56:$AL$62,"B")=DTKA_FEC_OVERLAP),1,0)</f>
        <v>0</v>
      </c>
      <c r="AM55">
        <f>IF(AND(COUNTIF($AM$56:$AM$62,"P")=1,COUNTIF($AM$56:$AM$62,"B")=DTKA_FEC_OVERLAP),1,0)</f>
        <v>0</v>
      </c>
      <c r="AN55">
        <f>IF(AND(COUNTIF($AN$56:$AN$62,"P")=1,COUNTIF($AN$56:$AN$62,"B")=DTKA_FEC_OVERLAP),1,0)</f>
        <v>0</v>
      </c>
      <c r="AO55">
        <f>IF(AND(COUNTIF($AO$56:$AO$62,"P")=1,COUNTIF($AO$56:$AO$62,"B")=DTKA_FEC_OVERLAP),1,0)</f>
        <v>0</v>
      </c>
      <c r="AP55">
        <f>IF(AND(COUNTIF($AP$56:$AP$62,"P")=1,COUNTIF($AP$56:$AP$62,"B")=DTKA_FEC_OVERLAP),1,0)</f>
        <v>0</v>
      </c>
      <c r="AQ55">
        <f>IF(AND(COUNTIF($AQ$56:$AQ$62,"P")=1,COUNTIF($AQ$56:$AQ$62,"B")=DTKA_FEC_OVERLAP),1,0)</f>
        <v>0</v>
      </c>
      <c r="AR55">
        <f>IF(AND(COUNTIF($AR$56:$AR$62,"P")=1,COUNTIF($AR$56:$AR$62,"B")=DTKA_FEC_OVERLAP),1,0)</f>
        <v>1</v>
      </c>
      <c r="AS55">
        <f>IF(AND(COUNTIF($AS$56:$AS$62,"P")=1,COUNTIF($AS$56:$AS$62,"B")=DTKA_FEC_OVERLAP),1,0)</f>
        <v>1</v>
      </c>
      <c r="AT55">
        <f>IF(AND(COUNTIF($AT$56:$AT$62,"P")=1,COUNTIF($AT$56:$AT$62,"B")=DTKA_FEC_OVERLAP),1,0)</f>
        <v>1</v>
      </c>
      <c r="AU55">
        <f>IF(AND(COUNTIF($AU$56:$AU$62,"P")=1,COUNTIF($AU$56:$AU$62,"B")=DTKA_FEC_OVERLAP),1,0)</f>
        <v>1</v>
      </c>
      <c r="AV55">
        <f>IF(AND(COUNTIF($AV$56:$AV$62,"P")=1,COUNTIF($AV$56:$AV$62,"B")=DTKA_FEC_OVERLAP),1,0)</f>
        <v>1</v>
      </c>
      <c r="AW55">
        <f>IF(AND(COUNTIF($AW$56:$AW$62,"P")=1,COUNTIF($AW$56:$AW$62,"B")=DTKA_FEC_OVERLAP),1,0)</f>
        <v>1</v>
      </c>
      <c r="AX55">
        <f>IF(AND(COUNTIF($AX$56:$AX$62,"P")=1,COUNTIF($AX$56:$AX$62,"B")=DTKA_FEC_OVERLAP),1,0)</f>
        <v>1</v>
      </c>
      <c r="AY55">
        <f>IF(AND(COUNTIF($AY$56:$AY$62,"P")=1,COUNTIF($AY$56:$AY$62,"B")=DTKA_FEC_OVERLAP),1,0)</f>
        <v>1</v>
      </c>
      <c r="AZ55" s="6">
        <f>IF(AND(COUNTIF($AZ$56:$AZ$62,"P")=1,COUNTIF($AZ$56:$AZ$62,"B")=DTKA_FEC_OVERLAP),1,0)</f>
        <v>1</v>
      </c>
      <c r="BA55" s="9">
        <f>IF(AND(COUNTIF($BA$56:$BA$62,"P")=1,COUNTIF($BA$56:$BA$62,"B")=DTKA_FEC_OVERLAP),1,0)</f>
        <v>1</v>
      </c>
      <c r="BB55">
        <f>IF(AND(COUNTIF($BB$56:$BB$62,"P")=1,COUNTIF($BB$56:$BB$62,"B")=DTKA_FEC_OVERLAP),1,0)</f>
        <v>1</v>
      </c>
      <c r="BC55">
        <f>IF(AND(COUNTIF($BC$56:$BC$62,"P")=1,COUNTIF($BC$56:$BC$62,"B")=DTKA_FEC_OVERLAP),1,0)</f>
        <v>1</v>
      </c>
      <c r="BD55">
        <f>IF(AND(COUNTIF($BD$56:$BD$62,"P")=1,COUNTIF($BD$56:$BD$62,"B")=DTKA_FEC_OVERLAP),1,0)</f>
        <v>1</v>
      </c>
      <c r="BE55">
        <f>IF(AND(COUNTIF($BE$56:$BE$62,"P")=1,COUNTIF($BE$56:$BE$62,"B")=DTKA_FEC_OVERLAP),1,0)</f>
        <v>1</v>
      </c>
      <c r="BF55">
        <f>IF(AND(COUNTIF($BF$56:$BF$62,"P")=1,COUNTIF($BF$56:$BF$62,"B")=DTKA_FEC_OVERLAP),1,0)</f>
        <v>1</v>
      </c>
      <c r="BG55">
        <f>IF(AND(COUNTIF($BG$56:$BG$62,"P")=1,COUNTIF($BG$56:$BG$62,"B")=DTKA_FEC_OVERLAP),1,0)</f>
        <v>1</v>
      </c>
      <c r="BH55">
        <f>IF(AND(COUNTIF($BH$56:$BH$62,"P")=1,COUNTIF($BH$56:$BH$62,"B")=DTKA_FEC_OVERLAP),1,0)</f>
        <v>1</v>
      </c>
      <c r="BI55">
        <f>IF(AND(COUNTIF($BI$56:$BI$62,"P")=1,COUNTIF($BI$56:$BI$62,"B")=DTKA_FEC_OVERLAP),1,0)</f>
        <v>1</v>
      </c>
      <c r="BJ55">
        <f>IF(AND(COUNTIF($BJ$56:$BJ$62,"P")=1,COUNTIF($BJ$56:$BJ$62,"B")=DTKA_FEC_OVERLAP),1,0)</f>
        <v>1</v>
      </c>
      <c r="BK55">
        <f>IF(AND(COUNTIF($BK$56:$BK$62,"P")=1,COUNTIF($BK$56:$BK$62,"B")=DTKA_FEC_OVERLAP),1,0)</f>
        <v>1</v>
      </c>
    </row>
    <row r="56" spans="1:63" x14ac:dyDescent="0.25">
      <c r="A56" s="97"/>
      <c r="B56" t="s">
        <v>22</v>
      </c>
      <c r="C56" t="s">
        <v>119</v>
      </c>
      <c r="D56" t="str">
        <f t="shared" ref="D56:M56" si="24">IF($C$56="running","P","")</f>
        <v/>
      </c>
      <c r="E56" t="str">
        <f t="shared" si="24"/>
        <v/>
      </c>
      <c r="F56" t="str">
        <f t="shared" si="24"/>
        <v/>
      </c>
      <c r="G56" t="str">
        <f t="shared" si="24"/>
        <v/>
      </c>
      <c r="H56" t="str">
        <f t="shared" si="24"/>
        <v/>
      </c>
      <c r="I56" t="str">
        <f t="shared" si="24"/>
        <v/>
      </c>
      <c r="J56" t="str">
        <f t="shared" si="24"/>
        <v/>
      </c>
      <c r="K56" t="str">
        <f t="shared" si="24"/>
        <v/>
      </c>
      <c r="L56" t="str">
        <f t="shared" si="24"/>
        <v/>
      </c>
      <c r="M56" t="str">
        <f t="shared" si="24"/>
        <v/>
      </c>
      <c r="N56" t="str">
        <f t="shared" ref="N56:W56" si="25">IF($C$56="running","B","")</f>
        <v/>
      </c>
      <c r="O56" t="str">
        <f t="shared" si="25"/>
        <v/>
      </c>
      <c r="P56" t="str">
        <f t="shared" si="25"/>
        <v/>
      </c>
      <c r="Q56" t="str">
        <f t="shared" si="25"/>
        <v/>
      </c>
      <c r="R56" t="str">
        <f t="shared" si="25"/>
        <v/>
      </c>
      <c r="S56" t="str">
        <f t="shared" si="25"/>
        <v/>
      </c>
      <c r="T56" t="str">
        <f t="shared" si="25"/>
        <v/>
      </c>
      <c r="U56" t="str">
        <f t="shared" si="25"/>
        <v/>
      </c>
      <c r="V56" t="str">
        <f t="shared" si="25"/>
        <v/>
      </c>
      <c r="W56" t="str">
        <f t="shared" si="25"/>
        <v/>
      </c>
      <c r="AZ56" s="6"/>
      <c r="BA56" s="9"/>
    </row>
    <row r="57" spans="1:63" x14ac:dyDescent="0.25">
      <c r="A57" s="97"/>
      <c r="B57" t="s">
        <v>23</v>
      </c>
      <c r="C57" t="s">
        <v>119</v>
      </c>
      <c r="N57" t="str">
        <f t="shared" ref="N57:W57" si="26">IF($C$57="running","P","")</f>
        <v/>
      </c>
      <c r="O57" t="str">
        <f t="shared" si="26"/>
        <v/>
      </c>
      <c r="P57" t="str">
        <f t="shared" si="26"/>
        <v/>
      </c>
      <c r="Q57" t="str">
        <f t="shared" si="26"/>
        <v/>
      </c>
      <c r="R57" t="str">
        <f t="shared" si="26"/>
        <v/>
      </c>
      <c r="S57" t="str">
        <f t="shared" si="26"/>
        <v/>
      </c>
      <c r="T57" t="str">
        <f t="shared" si="26"/>
        <v/>
      </c>
      <c r="U57" t="str">
        <f t="shared" si="26"/>
        <v/>
      </c>
      <c r="V57" t="str">
        <f t="shared" si="26"/>
        <v/>
      </c>
      <c r="W57" t="str">
        <f t="shared" si="26"/>
        <v/>
      </c>
      <c r="X57" t="str">
        <f t="shared" ref="X57:AG57" si="27">IF($C$57="running","B","")</f>
        <v/>
      </c>
      <c r="Y57" t="str">
        <f t="shared" si="27"/>
        <v/>
      </c>
      <c r="Z57" t="str">
        <f t="shared" si="27"/>
        <v/>
      </c>
      <c r="AA57" t="str">
        <f t="shared" si="27"/>
        <v/>
      </c>
      <c r="AB57" t="str">
        <f t="shared" si="27"/>
        <v/>
      </c>
      <c r="AC57" t="str">
        <f t="shared" si="27"/>
        <v/>
      </c>
      <c r="AD57" t="str">
        <f t="shared" si="27"/>
        <v/>
      </c>
      <c r="AE57" t="str">
        <f t="shared" si="27"/>
        <v/>
      </c>
      <c r="AF57" t="str">
        <f t="shared" si="27"/>
        <v/>
      </c>
      <c r="AG57" t="str">
        <f t="shared" si="27"/>
        <v/>
      </c>
      <c r="AZ57" s="6"/>
      <c r="BA57" s="9"/>
    </row>
    <row r="58" spans="1:63" x14ac:dyDescent="0.25">
      <c r="A58" s="97"/>
      <c r="B58" t="s">
        <v>94</v>
      </c>
      <c r="C58" t="s">
        <v>119</v>
      </c>
      <c r="X58" t="str">
        <f t="shared" ref="X58:AG58" si="28">IF($C$58="running","P","")</f>
        <v/>
      </c>
      <c r="Y58" t="str">
        <f t="shared" si="28"/>
        <v/>
      </c>
      <c r="Z58" t="str">
        <f t="shared" si="28"/>
        <v/>
      </c>
      <c r="AA58" t="str">
        <f t="shared" si="28"/>
        <v/>
      </c>
      <c r="AB58" t="str">
        <f t="shared" si="28"/>
        <v/>
      </c>
      <c r="AC58" t="str">
        <f t="shared" si="28"/>
        <v/>
      </c>
      <c r="AD58" t="str">
        <f t="shared" si="28"/>
        <v/>
      </c>
      <c r="AE58" t="str">
        <f t="shared" si="28"/>
        <v/>
      </c>
      <c r="AF58" t="str">
        <f t="shared" si="28"/>
        <v/>
      </c>
      <c r="AG58" t="str">
        <f t="shared" si="28"/>
        <v/>
      </c>
      <c r="AH58" t="str">
        <f t="shared" ref="AH58:AQ58" si="29">IF($C$58="running","B","")</f>
        <v/>
      </c>
      <c r="AI58" t="str">
        <f t="shared" si="29"/>
        <v/>
      </c>
      <c r="AJ58" t="str">
        <f t="shared" si="29"/>
        <v/>
      </c>
      <c r="AK58" t="str">
        <f t="shared" si="29"/>
        <v/>
      </c>
      <c r="AL58" t="str">
        <f t="shared" si="29"/>
        <v/>
      </c>
      <c r="AM58" t="str">
        <f t="shared" si="29"/>
        <v/>
      </c>
      <c r="AN58" t="str">
        <f t="shared" si="29"/>
        <v/>
      </c>
      <c r="AO58" t="str">
        <f t="shared" si="29"/>
        <v/>
      </c>
      <c r="AP58" t="str">
        <f t="shared" si="29"/>
        <v/>
      </c>
      <c r="AQ58" t="str">
        <f t="shared" si="29"/>
        <v/>
      </c>
      <c r="AZ58" s="6"/>
      <c r="BA58" s="9"/>
    </row>
    <row r="59" spans="1:63" x14ac:dyDescent="0.25">
      <c r="A59" s="97"/>
      <c r="B59" t="s">
        <v>95</v>
      </c>
      <c r="C59" t="s">
        <v>24</v>
      </c>
      <c r="AH59" t="str">
        <f t="shared" ref="AH59:AQ59" si="30">IF($C$59="running","P","")</f>
        <v>P</v>
      </c>
      <c r="AI59" t="str">
        <f t="shared" si="30"/>
        <v>P</v>
      </c>
      <c r="AJ59" t="str">
        <f t="shared" si="30"/>
        <v>P</v>
      </c>
      <c r="AK59" t="str">
        <f t="shared" si="30"/>
        <v>P</v>
      </c>
      <c r="AL59" t="str">
        <f t="shared" si="30"/>
        <v>P</v>
      </c>
      <c r="AM59" t="str">
        <f t="shared" si="30"/>
        <v>P</v>
      </c>
      <c r="AN59" t="str">
        <f t="shared" si="30"/>
        <v>P</v>
      </c>
      <c r="AO59" t="str">
        <f t="shared" si="30"/>
        <v>P</v>
      </c>
      <c r="AP59" t="str">
        <f t="shared" si="30"/>
        <v>P</v>
      </c>
      <c r="AQ59" t="str">
        <f t="shared" si="30"/>
        <v>P</v>
      </c>
      <c r="AR59" t="str">
        <f t="shared" ref="AR59:BA59" si="31">IF($C$59="running","B","")</f>
        <v>B</v>
      </c>
      <c r="AS59" t="str">
        <f t="shared" si="31"/>
        <v>B</v>
      </c>
      <c r="AT59" t="str">
        <f t="shared" si="31"/>
        <v>B</v>
      </c>
      <c r="AU59" t="str">
        <f t="shared" si="31"/>
        <v>B</v>
      </c>
      <c r="AV59" t="str">
        <f t="shared" si="31"/>
        <v>B</v>
      </c>
      <c r="AW59" t="str">
        <f t="shared" si="31"/>
        <v>B</v>
      </c>
      <c r="AX59" t="str">
        <f t="shared" si="31"/>
        <v>B</v>
      </c>
      <c r="AY59" t="str">
        <f t="shared" si="31"/>
        <v>B</v>
      </c>
      <c r="AZ59" s="6" t="str">
        <f t="shared" si="31"/>
        <v>B</v>
      </c>
      <c r="BA59" s="9" t="str">
        <f t="shared" si="31"/>
        <v>B</v>
      </c>
    </row>
    <row r="60" spans="1:63" x14ac:dyDescent="0.25">
      <c r="A60" s="97"/>
      <c r="B60" t="s">
        <v>96</v>
      </c>
      <c r="C60" t="s">
        <v>24</v>
      </c>
      <c r="AR60" t="str">
        <f t="shared" ref="AR60:BA60" si="32">IF($C$60="running","P","")</f>
        <v>P</v>
      </c>
      <c r="AS60" t="str">
        <f t="shared" si="32"/>
        <v>P</v>
      </c>
      <c r="AT60" t="str">
        <f t="shared" si="32"/>
        <v>P</v>
      </c>
      <c r="AU60" t="str">
        <f t="shared" si="32"/>
        <v>P</v>
      </c>
      <c r="AV60" t="str">
        <f t="shared" si="32"/>
        <v>P</v>
      </c>
      <c r="AW60" t="str">
        <f t="shared" si="32"/>
        <v>P</v>
      </c>
      <c r="AX60" t="str">
        <f t="shared" si="32"/>
        <v>P</v>
      </c>
      <c r="AY60" t="str">
        <f t="shared" si="32"/>
        <v>P</v>
      </c>
      <c r="AZ60" s="6" t="str">
        <f t="shared" si="32"/>
        <v>P</v>
      </c>
      <c r="BA60" s="9" t="str">
        <f t="shared" si="32"/>
        <v>P</v>
      </c>
      <c r="BB60" t="str">
        <f t="shared" ref="BB60:BK60" si="33">IF($C$60="running","B","")</f>
        <v>B</v>
      </c>
      <c r="BC60" t="str">
        <f t="shared" si="33"/>
        <v>B</v>
      </c>
      <c r="BD60" t="str">
        <f t="shared" si="33"/>
        <v>B</v>
      </c>
      <c r="BE60" t="str">
        <f t="shared" si="33"/>
        <v>B</v>
      </c>
      <c r="BF60" t="str">
        <f t="shared" si="33"/>
        <v>B</v>
      </c>
      <c r="BG60" t="str">
        <f t="shared" si="33"/>
        <v>B</v>
      </c>
      <c r="BH60" t="str">
        <f t="shared" si="33"/>
        <v>B</v>
      </c>
      <c r="BI60" t="str">
        <f t="shared" si="33"/>
        <v>B</v>
      </c>
      <c r="BJ60" t="str">
        <f t="shared" si="33"/>
        <v>B</v>
      </c>
      <c r="BK60" t="str">
        <f t="shared" si="33"/>
        <v>B</v>
      </c>
    </row>
    <row r="61" spans="1:63" x14ac:dyDescent="0.25">
      <c r="A61" s="97"/>
      <c r="B61" t="s">
        <v>97</v>
      </c>
      <c r="C61" t="s">
        <v>24</v>
      </c>
      <c r="D61" t="str">
        <f t="shared" ref="D61:M61" si="34">IF($C$61="running","B","")</f>
        <v>B</v>
      </c>
      <c r="E61" t="str">
        <f t="shared" si="34"/>
        <v>B</v>
      </c>
      <c r="F61" t="str">
        <f t="shared" si="34"/>
        <v>B</v>
      </c>
      <c r="G61" t="str">
        <f t="shared" si="34"/>
        <v>B</v>
      </c>
      <c r="H61" t="str">
        <f t="shared" si="34"/>
        <v>B</v>
      </c>
      <c r="I61" t="str">
        <f t="shared" si="34"/>
        <v>B</v>
      </c>
      <c r="J61" t="str">
        <f t="shared" si="34"/>
        <v>B</v>
      </c>
      <c r="K61" t="str">
        <f t="shared" si="34"/>
        <v>B</v>
      </c>
      <c r="L61" t="str">
        <f t="shared" si="34"/>
        <v>B</v>
      </c>
      <c r="M61" t="str">
        <f t="shared" si="34"/>
        <v>B</v>
      </c>
      <c r="AZ61" s="6"/>
      <c r="BA61" s="9"/>
      <c r="BB61" t="str">
        <f t="shared" ref="BB61:BK61" si="35">IF($C$61="running","P","")</f>
        <v>P</v>
      </c>
      <c r="BC61" t="str">
        <f t="shared" si="35"/>
        <v>P</v>
      </c>
      <c r="BD61" t="str">
        <f t="shared" si="35"/>
        <v>P</v>
      </c>
      <c r="BE61" t="str">
        <f t="shared" si="35"/>
        <v>P</v>
      </c>
      <c r="BF61" t="str">
        <f t="shared" si="35"/>
        <v>P</v>
      </c>
      <c r="BG61" t="str">
        <f t="shared" si="35"/>
        <v>P</v>
      </c>
      <c r="BH61" t="str">
        <f t="shared" si="35"/>
        <v>P</v>
      </c>
      <c r="BI61" t="str">
        <f t="shared" si="35"/>
        <v>P</v>
      </c>
      <c r="BJ61" t="str">
        <f t="shared" si="35"/>
        <v>P</v>
      </c>
      <c r="BK61" t="str">
        <f t="shared" si="35"/>
        <v>P</v>
      </c>
    </row>
    <row r="62" spans="1:63" x14ac:dyDescent="0.25">
      <c r="A62" s="97"/>
      <c r="B62" s="101" t="s">
        <v>25</v>
      </c>
      <c r="C62" s="3">
        <f>SUM($D$62:$BK$62)</f>
        <v>40</v>
      </c>
      <c r="D62">
        <f>IF(COUNTBLANK($D$56:$D$61)=6,0,1)</f>
        <v>1</v>
      </c>
      <c r="E62">
        <f>IF(COUNTBLANK($E$56:$E$61)=6,0,1)</f>
        <v>1</v>
      </c>
      <c r="F62">
        <f>IF(COUNTBLANK($F$56:$F$61)=6,0,1)</f>
        <v>1</v>
      </c>
      <c r="G62">
        <f>IF(COUNTBLANK($G$56:$G$61)=6,0,1)</f>
        <v>1</v>
      </c>
      <c r="H62">
        <f>IF(COUNTBLANK($H$56:$H$61)=6,0,1)</f>
        <v>1</v>
      </c>
      <c r="I62">
        <f>IF(COUNTBLANK($I$56:$I$61)=6,0,1)</f>
        <v>1</v>
      </c>
      <c r="J62">
        <f>IF(COUNTBLANK($J$56:$J$61)=6,0,1)</f>
        <v>1</v>
      </c>
      <c r="K62">
        <f>IF(COUNTBLANK($K$56:$K$61)=6,0,1)</f>
        <v>1</v>
      </c>
      <c r="L62">
        <f>IF(COUNTBLANK($L$56:$L$61)=6,0,1)</f>
        <v>1</v>
      </c>
      <c r="M62">
        <f>IF(COUNTBLANK($M$56:$M$61)=6,0,1)</f>
        <v>1</v>
      </c>
      <c r="N62">
        <f>IF(COUNTBLANK($N$56:$N$61)=6,0,1)</f>
        <v>0</v>
      </c>
      <c r="O62">
        <f>IF(COUNTBLANK($O$56:$O$61)=6,0,1)</f>
        <v>0</v>
      </c>
      <c r="P62">
        <f>IF(COUNTBLANK($P$56:$P$61)=6,0,1)</f>
        <v>0</v>
      </c>
      <c r="Q62">
        <f>IF(COUNTBLANK($Q$56:$Q$61)=6,0,1)</f>
        <v>0</v>
      </c>
      <c r="R62">
        <f>IF(COUNTBLANK($R$56:$R$61)=6,0,1)</f>
        <v>0</v>
      </c>
      <c r="S62">
        <f>IF(COUNTBLANK($S$56:$S$61)=6,0,1)</f>
        <v>0</v>
      </c>
      <c r="T62">
        <f>IF(COUNTBLANK($T$56:$T$61)=6,0,1)</f>
        <v>0</v>
      </c>
      <c r="U62">
        <f>IF(COUNTBLANK($U$56:$U$61)=6,0,1)</f>
        <v>0</v>
      </c>
      <c r="V62">
        <f>IF(COUNTBLANK($V$56:$V$61)=6,0,1)</f>
        <v>0</v>
      </c>
      <c r="W62">
        <f>IF(COUNTBLANK($W$56:$W$61)=6,0,1)</f>
        <v>0</v>
      </c>
      <c r="X62">
        <f>IF(COUNTBLANK($X$56:$X$61)=6,0,1)</f>
        <v>0</v>
      </c>
      <c r="Y62">
        <f>IF(COUNTBLANK($Y$56:$Y$61)=6,0,1)</f>
        <v>0</v>
      </c>
      <c r="Z62">
        <f>IF(COUNTBLANK($Z$56:$Z$61)=6,0,1)</f>
        <v>0</v>
      </c>
      <c r="AA62">
        <f>IF(COUNTBLANK($AA$56:$AA$61)=6,0,1)</f>
        <v>0</v>
      </c>
      <c r="AB62">
        <f>IF(COUNTBLANK($AB$56:$AB$61)=6,0,1)</f>
        <v>0</v>
      </c>
      <c r="AC62">
        <f>IF(COUNTBLANK($AC$56:$AC$61)=6,0,1)</f>
        <v>0</v>
      </c>
      <c r="AD62">
        <f>IF(COUNTBLANK($AD$56:$AD$61)=6,0,1)</f>
        <v>0</v>
      </c>
      <c r="AE62">
        <f>IF(COUNTBLANK($AE$56:$AE$61)=6,0,1)</f>
        <v>0</v>
      </c>
      <c r="AF62">
        <f>IF(COUNTBLANK($AF$56:$AF$61)=6,0,1)</f>
        <v>0</v>
      </c>
      <c r="AG62">
        <f>IF(COUNTBLANK($AG$56:$AG$61)=6,0,1)</f>
        <v>0</v>
      </c>
      <c r="AH62">
        <f>IF(COUNTBLANK($AH$56:$AH$61)=6,0,1)</f>
        <v>1</v>
      </c>
      <c r="AI62">
        <f>IF(COUNTBLANK($AI$56:$AI$61)=6,0,1)</f>
        <v>1</v>
      </c>
      <c r="AJ62">
        <f>IF(COUNTBLANK($AJ$56:$AJ$61)=6,0,1)</f>
        <v>1</v>
      </c>
      <c r="AK62">
        <f>IF(COUNTBLANK($AK$56:$AK$61)=6,0,1)</f>
        <v>1</v>
      </c>
      <c r="AL62">
        <f>IF(COUNTBLANK($AL$56:$AL$61)=6,0,1)</f>
        <v>1</v>
      </c>
      <c r="AM62">
        <f>IF(COUNTBLANK($AM$56:$AM$61)=6,0,1)</f>
        <v>1</v>
      </c>
      <c r="AN62">
        <f>IF(COUNTBLANK($AN$56:$AN$61)=6,0,1)</f>
        <v>1</v>
      </c>
      <c r="AO62">
        <f>IF(COUNTBLANK($AO$56:$AO$61)=6,0,1)</f>
        <v>1</v>
      </c>
      <c r="AP62">
        <f>IF(COUNTBLANK($AP$56:$AP$61)=6,0,1)</f>
        <v>1</v>
      </c>
      <c r="AQ62">
        <f>IF(COUNTBLANK($AQ$56:$AQ$61)=6,0,1)</f>
        <v>1</v>
      </c>
      <c r="AR62">
        <f>IF(COUNTBLANK($AR$56:$AR$61)=6,0,1)</f>
        <v>1</v>
      </c>
      <c r="AS62">
        <f>IF(COUNTBLANK($AS$56:$AS$61)=6,0,1)</f>
        <v>1</v>
      </c>
      <c r="AT62">
        <f>IF(COUNTBLANK($AT$56:$AT$61)=6,0,1)</f>
        <v>1</v>
      </c>
      <c r="AU62">
        <f>IF(COUNTBLANK($AU$56:$AU$61)=6,0,1)</f>
        <v>1</v>
      </c>
      <c r="AV62">
        <f>IF(COUNTBLANK($AV$56:$AV$61)=6,0,1)</f>
        <v>1</v>
      </c>
      <c r="AW62">
        <f>IF(COUNTBLANK($AW$56:$AW$61)=6,0,1)</f>
        <v>1</v>
      </c>
      <c r="AX62">
        <f>IF(COUNTBLANK($AX$56:$AX$61)=6,0,1)</f>
        <v>1</v>
      </c>
      <c r="AY62">
        <f>IF(COUNTBLANK($AY$56:$AY$61)=6,0,1)</f>
        <v>1</v>
      </c>
      <c r="AZ62" s="6">
        <f>IF(COUNTBLANK($AZ$56:$AZ$61)=6,0,1)</f>
        <v>1</v>
      </c>
      <c r="BA62" s="9">
        <f>IF(COUNTBLANK($BA$56:$BA$61)=6,0,1)</f>
        <v>1</v>
      </c>
      <c r="BB62">
        <f>IF(COUNTBLANK($BB$56:$BB$61)=6,0,1)</f>
        <v>1</v>
      </c>
      <c r="BC62">
        <f>IF(COUNTBLANK($BC$56:$BC$61)=6,0,1)</f>
        <v>1</v>
      </c>
      <c r="BD62">
        <f>IF(COUNTBLANK($BD$56:$BD$61)=6,0,1)</f>
        <v>1</v>
      </c>
      <c r="BE62">
        <f>IF(COUNTBLANK($BE$56:$BE$61)=6,0,1)</f>
        <v>1</v>
      </c>
      <c r="BF62">
        <f>IF(COUNTBLANK($BF$56:$BF$61)=6,0,1)</f>
        <v>1</v>
      </c>
      <c r="BG62">
        <f>IF(COUNTBLANK($BG$56:$BG$61)=6,0,1)</f>
        <v>1</v>
      </c>
      <c r="BH62">
        <f>IF(COUNTBLANK($BH$56:$BH$61)=6,0,1)</f>
        <v>1</v>
      </c>
      <c r="BI62">
        <f>IF(COUNTBLANK($BI$56:$BI$61)=6,0,1)</f>
        <v>1</v>
      </c>
      <c r="BJ62">
        <f>IF(COUNTBLANK($BJ$56:$BJ$61)=6,0,1)</f>
        <v>1</v>
      </c>
      <c r="BK62">
        <f>IF(COUNTBLANK($BK$56:$BK$61)=6,0,1)</f>
        <v>1</v>
      </c>
    </row>
    <row r="63" spans="1:63" x14ac:dyDescent="0.25">
      <c r="A63" s="97"/>
      <c r="B63" s="101"/>
      <c r="C63" s="7">
        <f>$C$62/60</f>
        <v>0.66666666666666663</v>
      </c>
    </row>
    <row r="64" spans="1:63" x14ac:dyDescent="0.25">
      <c r="A64" s="97"/>
      <c r="B64" s="101" t="s">
        <v>28</v>
      </c>
      <c r="C64" s="3">
        <f>60-(SUM($D$62:$BK$62))</f>
        <v>20</v>
      </c>
    </row>
    <row r="65" spans="1:63" x14ac:dyDescent="0.25">
      <c r="A65" s="97"/>
      <c r="B65" s="101"/>
      <c r="C65" s="7">
        <f>$C$64/60</f>
        <v>0.33333333333333331</v>
      </c>
    </row>
    <row r="66" spans="1:63" x14ac:dyDescent="0.25">
      <c r="A66" s="97"/>
      <c r="B66" s="2" t="s">
        <v>91</v>
      </c>
      <c r="C66" s="10" t="str">
        <f>IF($C$62&gt;=50,"YES","NO")</f>
        <v>NO</v>
      </c>
    </row>
    <row r="67" spans="1:63" x14ac:dyDescent="0.25">
      <c r="A67" s="97"/>
      <c r="B67" s="101" t="s">
        <v>27</v>
      </c>
      <c r="C67" s="3">
        <f>COUNTIF($C$56:$C$61,"running")</f>
        <v>3</v>
      </c>
    </row>
    <row r="68" spans="1:63" x14ac:dyDescent="0.25">
      <c r="A68" s="97"/>
      <c r="B68" s="101"/>
      <c r="C68" s="7">
        <f>$C$67/6</f>
        <v>0.5</v>
      </c>
    </row>
    <row r="69" spans="1:63" x14ac:dyDescent="0.25">
      <c r="A69" s="97"/>
      <c r="B69" s="101" t="s">
        <v>29</v>
      </c>
      <c r="C69" s="3">
        <f>COUNTIF($C$56:$C$61,"failing")</f>
        <v>3</v>
      </c>
    </row>
    <row r="70" spans="1:63" x14ac:dyDescent="0.25">
      <c r="A70" s="97"/>
      <c r="B70" s="101"/>
      <c r="C70" s="7">
        <f>$C$69/6</f>
        <v>0.5</v>
      </c>
    </row>
    <row r="71" spans="1:63" x14ac:dyDescent="0.25">
      <c r="A71" s="97"/>
      <c r="B71" s="101" t="s">
        <v>30</v>
      </c>
      <c r="C71" s="3">
        <f>COUNTIF($D$56:$BK$61,"P")+COUNTIF($D$56:$BK$61,"B")</f>
        <v>60</v>
      </c>
    </row>
    <row r="72" spans="1:63" x14ac:dyDescent="0.25">
      <c r="A72" s="97"/>
      <c r="B72" s="101"/>
      <c r="C72" s="7">
        <f>$C$71/120</f>
        <v>0.5</v>
      </c>
    </row>
    <row r="73" spans="1:63" x14ac:dyDescent="0.25">
      <c r="A73" s="97"/>
      <c r="B73" s="101" t="s">
        <v>31</v>
      </c>
      <c r="C73" s="3">
        <f>120-(COUNTIF($D$56:$BK$61,"P")+COUNTIF($D$56:$BK$61,"B"))</f>
        <v>60</v>
      </c>
    </row>
    <row r="74" spans="1:63" x14ac:dyDescent="0.25">
      <c r="A74" s="97"/>
      <c r="B74" s="101"/>
      <c r="C74" s="7">
        <f>$C$73/120</f>
        <v>0.5</v>
      </c>
    </row>
    <row r="76" spans="1:63" ht="23.25" x14ac:dyDescent="0.35">
      <c r="B76" s="4" t="str">
        <f>"DTKA configuration with 6 distributed key authority nodes ("&amp;COUNTIF($C$81:$C$86,"failing")&amp;" failing node(s)):"</f>
        <v>DTKA configuration with 6 distributed key authority nodes (3 failing node(s)):</v>
      </c>
    </row>
    <row r="77" spans="1:63" x14ac:dyDescent="0.25">
      <c r="A77" s="97" t="s">
        <v>121</v>
      </c>
      <c r="D77" s="98" t="s">
        <v>93</v>
      </c>
      <c r="E77" s="99"/>
      <c r="F77" s="99"/>
      <c r="G77" s="99"/>
      <c r="H77" s="99"/>
      <c r="I77" s="99"/>
      <c r="J77" s="99"/>
      <c r="K77" s="99"/>
      <c r="L77" s="99"/>
      <c r="M77" s="99"/>
      <c r="N77" s="99"/>
      <c r="O77" s="99"/>
      <c r="P77" s="99"/>
      <c r="Q77" s="99"/>
      <c r="R77" s="99"/>
      <c r="S77" s="99"/>
      <c r="T77" s="99"/>
      <c r="U77" s="99"/>
      <c r="V77" s="99"/>
      <c r="W77" s="99"/>
      <c r="X77" s="99"/>
      <c r="Y77" s="99"/>
      <c r="Z77" s="99"/>
      <c r="AA77" s="99"/>
      <c r="AB77" s="99"/>
      <c r="AC77" s="99"/>
      <c r="AD77" s="99"/>
      <c r="AE77" s="99"/>
      <c r="AF77" s="99"/>
      <c r="AG77" s="99"/>
      <c r="AH77" s="99"/>
      <c r="AI77" s="99"/>
      <c r="AJ77" s="99"/>
      <c r="AK77" s="99"/>
      <c r="AL77" s="99"/>
      <c r="AM77" s="99"/>
      <c r="AN77" s="99"/>
      <c r="AO77" s="99"/>
      <c r="AP77" s="99"/>
      <c r="AQ77" s="99"/>
      <c r="AR77" s="99"/>
      <c r="AS77" s="99"/>
      <c r="AT77" s="99"/>
      <c r="AU77" s="99"/>
      <c r="AV77" s="99"/>
      <c r="AW77" s="99"/>
      <c r="AX77" s="99"/>
      <c r="AY77" s="99"/>
      <c r="AZ77" s="99"/>
      <c r="BA77" s="100"/>
      <c r="BB77" s="98" t="s">
        <v>99</v>
      </c>
      <c r="BC77" s="99"/>
      <c r="BD77" s="99"/>
      <c r="BE77" s="99"/>
      <c r="BF77" s="99"/>
      <c r="BG77" s="99"/>
      <c r="BH77" s="99"/>
      <c r="BI77" s="99"/>
      <c r="BJ77" s="99"/>
      <c r="BK77" s="100"/>
    </row>
    <row r="78" spans="1:63" x14ac:dyDescent="0.25">
      <c r="A78" s="97"/>
      <c r="B78" t="s">
        <v>20</v>
      </c>
      <c r="D78">
        <v>0</v>
      </c>
      <c r="E78">
        <v>1</v>
      </c>
      <c r="F78">
        <v>2</v>
      </c>
      <c r="G78">
        <v>3</v>
      </c>
      <c r="H78">
        <v>4</v>
      </c>
      <c r="I78">
        <v>5</v>
      </c>
      <c r="J78">
        <v>6</v>
      </c>
      <c r="K78">
        <v>7</v>
      </c>
      <c r="L78">
        <v>8</v>
      </c>
      <c r="M78">
        <v>9</v>
      </c>
      <c r="N78">
        <v>10</v>
      </c>
      <c r="O78">
        <v>11</v>
      </c>
      <c r="P78">
        <v>12</v>
      </c>
      <c r="Q78">
        <v>13</v>
      </c>
      <c r="R78">
        <v>14</v>
      </c>
      <c r="S78">
        <v>15</v>
      </c>
      <c r="T78">
        <v>16</v>
      </c>
      <c r="U78">
        <v>17</v>
      </c>
      <c r="V78">
        <v>18</v>
      </c>
      <c r="W78">
        <v>19</v>
      </c>
      <c r="X78">
        <v>20</v>
      </c>
      <c r="Y78">
        <v>21</v>
      </c>
      <c r="Z78">
        <v>22</v>
      </c>
      <c r="AA78">
        <v>23</v>
      </c>
      <c r="AB78">
        <v>24</v>
      </c>
      <c r="AC78">
        <v>25</v>
      </c>
      <c r="AD78">
        <v>26</v>
      </c>
      <c r="AE78">
        <v>27</v>
      </c>
      <c r="AF78">
        <v>28</v>
      </c>
      <c r="AG78">
        <v>29</v>
      </c>
      <c r="AH78">
        <v>30</v>
      </c>
      <c r="AI78">
        <v>31</v>
      </c>
      <c r="AJ78">
        <v>32</v>
      </c>
      <c r="AK78">
        <v>33</v>
      </c>
      <c r="AL78">
        <v>34</v>
      </c>
      <c r="AM78">
        <v>35</v>
      </c>
      <c r="AN78">
        <v>36</v>
      </c>
      <c r="AO78">
        <v>37</v>
      </c>
      <c r="AP78">
        <v>38</v>
      </c>
      <c r="AQ78">
        <v>39</v>
      </c>
      <c r="AR78">
        <v>40</v>
      </c>
      <c r="AS78">
        <v>41</v>
      </c>
      <c r="AT78">
        <v>42</v>
      </c>
      <c r="AU78">
        <v>43</v>
      </c>
      <c r="AV78">
        <v>44</v>
      </c>
      <c r="AW78">
        <v>45</v>
      </c>
      <c r="AX78">
        <v>46</v>
      </c>
      <c r="AY78">
        <v>47</v>
      </c>
      <c r="AZ78">
        <v>48</v>
      </c>
      <c r="BA78">
        <v>49</v>
      </c>
      <c r="BB78">
        <v>0</v>
      </c>
      <c r="BC78">
        <v>1</v>
      </c>
      <c r="BD78">
        <v>2</v>
      </c>
      <c r="BE78">
        <v>3</v>
      </c>
      <c r="BF78">
        <v>4</v>
      </c>
      <c r="BG78">
        <v>5</v>
      </c>
      <c r="BH78">
        <v>6</v>
      </c>
      <c r="BI78">
        <v>7</v>
      </c>
      <c r="BJ78">
        <v>8</v>
      </c>
      <c r="BK78">
        <v>9</v>
      </c>
    </row>
    <row r="79" spans="1:63" x14ac:dyDescent="0.25">
      <c r="A79" s="97"/>
      <c r="B79" t="s">
        <v>21</v>
      </c>
      <c r="D79" s="43">
        <v>0</v>
      </c>
      <c r="E79" s="43">
        <v>1</v>
      </c>
      <c r="F79" s="43">
        <v>2</v>
      </c>
      <c r="G79" s="43">
        <v>3</v>
      </c>
      <c r="H79" s="43">
        <v>4</v>
      </c>
      <c r="I79" s="43">
        <v>5</v>
      </c>
      <c r="J79" s="43">
        <v>6</v>
      </c>
      <c r="K79" s="43">
        <v>7</v>
      </c>
      <c r="L79" s="43">
        <v>8</v>
      </c>
      <c r="M79" s="43">
        <v>9</v>
      </c>
      <c r="N79" s="43">
        <v>10</v>
      </c>
      <c r="O79" s="43">
        <v>11</v>
      </c>
      <c r="P79" s="43">
        <v>12</v>
      </c>
      <c r="Q79" s="43">
        <v>13</v>
      </c>
      <c r="R79" s="43">
        <v>14</v>
      </c>
      <c r="S79" s="43">
        <v>15</v>
      </c>
      <c r="T79" s="43">
        <v>16</v>
      </c>
      <c r="U79" s="43">
        <v>17</v>
      </c>
      <c r="V79" s="43">
        <v>18</v>
      </c>
      <c r="W79" s="43">
        <v>19</v>
      </c>
      <c r="X79" s="43">
        <v>20</v>
      </c>
      <c r="Y79" s="43">
        <v>21</v>
      </c>
      <c r="Z79" s="43">
        <v>22</v>
      </c>
      <c r="AA79" s="43">
        <v>23</v>
      </c>
      <c r="AB79" s="43">
        <v>24</v>
      </c>
      <c r="AC79" s="43">
        <v>25</v>
      </c>
      <c r="AD79" s="43">
        <v>26</v>
      </c>
      <c r="AE79" s="43">
        <v>27</v>
      </c>
      <c r="AF79" s="43">
        <v>28</v>
      </c>
      <c r="AG79" s="43">
        <v>29</v>
      </c>
      <c r="AH79" s="43">
        <v>30</v>
      </c>
      <c r="AI79" s="43">
        <v>31</v>
      </c>
      <c r="AJ79" s="43">
        <v>32</v>
      </c>
      <c r="AK79" s="43">
        <v>33</v>
      </c>
      <c r="AL79" s="43">
        <v>34</v>
      </c>
      <c r="AM79" s="43">
        <v>35</v>
      </c>
      <c r="AN79" s="43">
        <v>36</v>
      </c>
      <c r="AO79" s="43">
        <v>37</v>
      </c>
      <c r="AP79" s="43">
        <v>38</v>
      </c>
      <c r="AQ79" s="43">
        <v>39</v>
      </c>
      <c r="AR79" s="43">
        <v>40</v>
      </c>
      <c r="AS79" s="43">
        <v>41</v>
      </c>
      <c r="AT79" s="43">
        <v>42</v>
      </c>
      <c r="AU79" s="43">
        <v>43</v>
      </c>
      <c r="AV79" s="43">
        <v>44</v>
      </c>
      <c r="AW79" s="43">
        <v>45</v>
      </c>
      <c r="AX79" s="43">
        <v>46</v>
      </c>
      <c r="AY79" s="43">
        <v>47</v>
      </c>
      <c r="AZ79" s="5">
        <v>48</v>
      </c>
      <c r="BA79" s="8">
        <v>49</v>
      </c>
      <c r="BB79" s="43">
        <v>50</v>
      </c>
      <c r="BC79" s="43">
        <v>51</v>
      </c>
      <c r="BD79" s="43">
        <v>52</v>
      </c>
      <c r="BE79" s="43">
        <v>53</v>
      </c>
      <c r="BF79" s="43">
        <v>54</v>
      </c>
      <c r="BG79" s="43">
        <v>55</v>
      </c>
      <c r="BH79" s="43">
        <v>56</v>
      </c>
      <c r="BI79" s="43">
        <v>57</v>
      </c>
      <c r="BJ79" s="43">
        <v>58</v>
      </c>
      <c r="BK79" s="43">
        <v>59</v>
      </c>
    </row>
    <row r="80" spans="1:63" x14ac:dyDescent="0.25">
      <c r="A80" s="97"/>
      <c r="B80" t="s">
        <v>98</v>
      </c>
      <c r="D80">
        <f>IF(AND(COUNTIF($D$81:$D$87,"P")=1,COUNTIF($D$81:$D$87,"B")=DTKA_FEC_OVERLAP),1,0)</f>
        <v>0</v>
      </c>
      <c r="E80">
        <f>IF(AND(COUNTIF($E$81:$E$87,"P")=1,COUNTIF($E$81:$E$87,"B")=DTKA_FEC_OVERLAP),1,0)</f>
        <v>0</v>
      </c>
      <c r="F80">
        <f>IF(AND(COUNTIF($F$81:$F$87,"P")=1,COUNTIF($F$81:$F$87,"B")=DTKA_FEC_OVERLAP),1,0)</f>
        <v>0</v>
      </c>
      <c r="G80">
        <f>IF(AND(COUNTIF($G$81:$G$87,"P")=1,COUNTIF($G$81:$G$87,"B")=DTKA_FEC_OVERLAP),1,0)</f>
        <v>0</v>
      </c>
      <c r="H80">
        <f>IF(AND(COUNTIF($H$81:$H$87,"P")=1,COUNTIF($H$81:$H$87,"B")=DTKA_FEC_OVERLAP),1,0)</f>
        <v>0</v>
      </c>
      <c r="I80">
        <f>IF(AND(COUNTIF($I$81:$I$87,"P")=1,COUNTIF($I$81:$I$87,"B")=DTKA_FEC_OVERLAP),1,0)</f>
        <v>0</v>
      </c>
      <c r="J80">
        <f>IF(AND(COUNTIF($J$81:$J$87,"P")=1,COUNTIF($J$81:$J$87,"B")=DTKA_FEC_OVERLAP),1,0)</f>
        <v>0</v>
      </c>
      <c r="K80">
        <f>IF(AND(COUNTIF($K$81:$K$87,"P")=1,COUNTIF($K$81:$K$87,"B")=DTKA_FEC_OVERLAP),1,0)</f>
        <v>0</v>
      </c>
      <c r="L80">
        <f>IF(AND(COUNTIF($L$81:$L$87,"P")=1,COUNTIF($L$81:$L$87,"B")=DTKA_FEC_OVERLAP),1,0)</f>
        <v>0</v>
      </c>
      <c r="M80">
        <f>IF(AND(COUNTIF($M$81:$M$87,"P")=1,COUNTIF($M$81:$M$87,"B")=DTKA_FEC_OVERLAP),1,0)</f>
        <v>0</v>
      </c>
      <c r="N80">
        <f>IF(AND(COUNTIF($N$81:$N$87,"P")=1,COUNTIF($N$81:$N$87,"B")=DTKA_FEC_OVERLAP),1,0)</f>
        <v>0</v>
      </c>
      <c r="O80">
        <f>IF(AND(COUNTIF($O$81:$O$87,"P")=1,COUNTIF($O$81:$O$87,"B")=DTKA_FEC_OVERLAP),1,0)</f>
        <v>0</v>
      </c>
      <c r="P80">
        <f>IF(AND(COUNTIF($P$81:$P$87,"P")=1,COUNTIF($P$81:$P$87,"B")=DTKA_FEC_OVERLAP),1,0)</f>
        <v>0</v>
      </c>
      <c r="Q80">
        <f>IF(AND(COUNTIF($Q$81:$Q$87,"P")=1,COUNTIF($Q$81:$Q$87,"B")=DTKA_FEC_OVERLAP),1,0)</f>
        <v>0</v>
      </c>
      <c r="R80">
        <f>IF(AND(COUNTIF($R$81:$R$87,"P")=1,COUNTIF($R$81:$R$87,"B")=DTKA_FEC_OVERLAP),1,0)</f>
        <v>0</v>
      </c>
      <c r="S80">
        <f>IF(AND(COUNTIF($S$81:$S$87,"P")=1,COUNTIF($S$81:$S$87,"B")=DTKA_FEC_OVERLAP),1,0)</f>
        <v>0</v>
      </c>
      <c r="T80">
        <f>IF(AND(COUNTIF($T$81:$T$87,"P")=1,COUNTIF($T$81:$T$87,"B")=DTKA_FEC_OVERLAP),1,0)</f>
        <v>0</v>
      </c>
      <c r="U80">
        <f>IF(AND(COUNTIF($U$81:$U$87,"P")=1,COUNTIF($U$81:$U$87,"B")=DTKA_FEC_OVERLAP),1,0)</f>
        <v>0</v>
      </c>
      <c r="V80">
        <f>IF(AND(COUNTIF($V$81:$V$87,"P")=1,COUNTIF($V$81:$V$87,"B")=DTKA_FEC_OVERLAP),1,0)</f>
        <v>0</v>
      </c>
      <c r="W80">
        <f>IF(AND(COUNTIF($W$81:$W$87,"P")=1,COUNTIF($W$81:$W$87,"B")=DTKA_FEC_OVERLAP),1,0)</f>
        <v>0</v>
      </c>
      <c r="X80">
        <f>IF(AND(COUNTIF($X$81:$X$87,"P")=1,COUNTIF($X$81:$X$87,"B")=DTKA_FEC_OVERLAP),1,0)</f>
        <v>0</v>
      </c>
      <c r="Y80">
        <f>IF(AND(COUNTIF($Y$81:$Y$87,"P")=1,COUNTIF($Y$81:$Y$87,"B")=DTKA_FEC_OVERLAP),1,0)</f>
        <v>0</v>
      </c>
      <c r="Z80">
        <f>IF(AND(COUNTIF($Z$81:$Z$87,"P")=1,COUNTIF($Z$81:$Z$87,"B")=DTKA_FEC_OVERLAP),1,0)</f>
        <v>0</v>
      </c>
      <c r="AA80">
        <f>IF(AND(COUNTIF($AA$81:$AA$87,"P")=1,COUNTIF($AA$81:$AA$87,"B")=DTKA_FEC_OVERLAP),1,0)</f>
        <v>0</v>
      </c>
      <c r="AB80">
        <f>IF(AND(COUNTIF($AB$81:$AB$87,"P")=1,COUNTIF($AB$81:$AB$87,"B")=DTKA_FEC_OVERLAP),1,0)</f>
        <v>0</v>
      </c>
      <c r="AC80">
        <f>IF(AND(COUNTIF($AC$81:$AC$87,"P")=1,COUNTIF($AC$81:$AC$87,"B")=DTKA_FEC_OVERLAP),1,0)</f>
        <v>0</v>
      </c>
      <c r="AD80">
        <f>IF(AND(COUNTIF($AD$81:$AD$87,"P")=1,COUNTIF($AD$81:$AD$87,"B")=DTKA_FEC_OVERLAP),1,0)</f>
        <v>0</v>
      </c>
      <c r="AE80">
        <f>IF(AND(COUNTIF($AE$81:$AE$87,"P")=1,COUNTIF($AE$81:$AE$87,"B")=DTKA_FEC_OVERLAP),1,0)</f>
        <v>0</v>
      </c>
      <c r="AF80">
        <f>IF(AND(COUNTIF($AF$81:$AF$87,"P")=1,COUNTIF($AF$81:$AF$87,"B")=DTKA_FEC_OVERLAP),1,0)</f>
        <v>0</v>
      </c>
      <c r="AG80">
        <f>IF(AND(COUNTIF($AG$81:$AG$87,"P")=1,COUNTIF($AG$81:$AG$87,"B")=DTKA_FEC_OVERLAP),1,0)</f>
        <v>0</v>
      </c>
      <c r="AH80">
        <f>IF(AND(COUNTIF($AH$81:$AH$87,"P")=1,COUNTIF($AH$81:$AH$87,"B")=DTKA_FEC_OVERLAP),1,0)</f>
        <v>0</v>
      </c>
      <c r="AI80">
        <f>IF(AND(COUNTIF($AI$81:$AI$87,"P")=1,COUNTIF($AI$81:$AI$87,"B")=DTKA_FEC_OVERLAP),1,0)</f>
        <v>0</v>
      </c>
      <c r="AJ80">
        <f>IF(AND(COUNTIF($AJ$81:$AJ$87,"P")=1,COUNTIF($AJ$81:$AJ$87,"B")=DTKA_FEC_OVERLAP),1,0)</f>
        <v>0</v>
      </c>
      <c r="AK80">
        <f>IF(AND(COUNTIF($AK$81:$AK$87,"P")=1,COUNTIF($AK$81:$AK$87,"B")=DTKA_FEC_OVERLAP),1,0)</f>
        <v>0</v>
      </c>
      <c r="AL80">
        <f>IF(AND(COUNTIF($AL$81:$AL$87,"P")=1,COUNTIF($AL$81:$AL$87,"B")=DTKA_FEC_OVERLAP),1,0)</f>
        <v>0</v>
      </c>
      <c r="AM80">
        <f>IF(AND(COUNTIF($AM$81:$AM$87,"P")=1,COUNTIF($AM$81:$AM$87,"B")=DTKA_FEC_OVERLAP),1,0)</f>
        <v>0</v>
      </c>
      <c r="AN80">
        <f>IF(AND(COUNTIF($AN$81:$AN$87,"P")=1,COUNTIF($AN$81:$AN$87,"B")=DTKA_FEC_OVERLAP),1,0)</f>
        <v>0</v>
      </c>
      <c r="AO80">
        <f>IF(AND(COUNTIF($AO$81:$AO$87,"P")=1,COUNTIF($AO$81:$AO$87,"B")=DTKA_FEC_OVERLAP),1,0)</f>
        <v>0</v>
      </c>
      <c r="AP80">
        <f>IF(AND(COUNTIF($AP$81:$AP$87,"P")=1,COUNTIF($AP$81:$AP$87,"B")=DTKA_FEC_OVERLAP),1,0)</f>
        <v>0</v>
      </c>
      <c r="AQ80">
        <f>IF(AND(COUNTIF($AQ$81:$AQ$87,"P")=1,COUNTIF($AQ$81:$AQ$87,"B")=DTKA_FEC_OVERLAP),1,0)</f>
        <v>0</v>
      </c>
      <c r="AR80">
        <f>IF(AND(COUNTIF($AR$81:$AR$87,"P")=1,COUNTIF($AR$81:$AR$87,"B")=DTKA_FEC_OVERLAP),1,0)</f>
        <v>0</v>
      </c>
      <c r="AS80">
        <f>IF(AND(COUNTIF($AS$81:$AS$87,"P")=1,COUNTIF($AS$81:$AS$87,"B")=DTKA_FEC_OVERLAP),1,0)</f>
        <v>0</v>
      </c>
      <c r="AT80">
        <f>IF(AND(COUNTIF($AT$81:$AT$87,"P")=1,COUNTIF($AT$81:$AT$87,"B")=DTKA_FEC_OVERLAP),1,0)</f>
        <v>0</v>
      </c>
      <c r="AU80">
        <f>IF(AND(COUNTIF($AU$81:$AU$87,"P")=1,COUNTIF($AU$81:$AU$87,"B")=DTKA_FEC_OVERLAP),1,0)</f>
        <v>0</v>
      </c>
      <c r="AV80">
        <f>IF(AND(COUNTIF($AV$81:$AV$87,"P")=1,COUNTIF($AV$81:$AV$87,"B")=DTKA_FEC_OVERLAP),1,0)</f>
        <v>0</v>
      </c>
      <c r="AW80">
        <f>IF(AND(COUNTIF($AW$81:$AW$87,"P")=1,COUNTIF($AW$81:$AW$87,"B")=DTKA_FEC_OVERLAP),1,0)</f>
        <v>0</v>
      </c>
      <c r="AX80">
        <f>IF(AND(COUNTIF($AX$81:$AX$87,"P")=1,COUNTIF($AX$81:$AX$87,"B")=DTKA_FEC_OVERLAP),1,0)</f>
        <v>0</v>
      </c>
      <c r="AY80">
        <f>IF(AND(COUNTIF($AY$81:$AY$87,"P")=1,COUNTIF($AY$81:$AY$87,"B")=DTKA_FEC_OVERLAP),1,0)</f>
        <v>0</v>
      </c>
      <c r="AZ80" s="6">
        <f>IF(AND(COUNTIF($AZ$81:$AZ$87,"P")=1,COUNTIF($AZ$81:$AZ$87,"B")=DTKA_FEC_OVERLAP),1,0)</f>
        <v>0</v>
      </c>
      <c r="BA80" s="9">
        <f>IF(AND(COUNTIF($BA$81:$BA$87,"P")=1,COUNTIF($BA$81:$BA$87,"B")=DTKA_FEC_OVERLAP),1,0)</f>
        <v>0</v>
      </c>
      <c r="BB80">
        <f>IF(AND(COUNTIF($BB$81:$BB$87,"P")=1,COUNTIF($BB$81:$BB$87,"B")=DTKA_FEC_OVERLAP),1,0)</f>
        <v>0</v>
      </c>
      <c r="BC80">
        <f>IF(AND(COUNTIF($BC$81:$BC$87,"P")=1,COUNTIF($BC$81:$BC$87,"B")=DTKA_FEC_OVERLAP),1,0)</f>
        <v>0</v>
      </c>
      <c r="BD80">
        <f>IF(AND(COUNTIF($BD$81:$BD$87,"P")=1,COUNTIF($BD$81:$BD$87,"B")=DTKA_FEC_OVERLAP),1,0)</f>
        <v>0</v>
      </c>
      <c r="BE80">
        <f>IF(AND(COUNTIF($BE$81:$BE$87,"P")=1,COUNTIF($BE$81:$BE$87,"B")=DTKA_FEC_OVERLAP),1,0)</f>
        <v>0</v>
      </c>
      <c r="BF80">
        <f>IF(AND(COUNTIF($BF$81:$BF$87,"P")=1,COUNTIF($BF$81:$BF$87,"B")=DTKA_FEC_OVERLAP),1,0)</f>
        <v>0</v>
      </c>
      <c r="BG80">
        <f>IF(AND(COUNTIF($BG$81:$BG$87,"P")=1,COUNTIF($BG$81:$BG$87,"B")=DTKA_FEC_OVERLAP),1,0)</f>
        <v>0</v>
      </c>
      <c r="BH80">
        <f>IF(AND(COUNTIF($BH$81:$BH$87,"P")=1,COUNTIF($BH$81:$BH$87,"B")=DTKA_FEC_OVERLAP),1,0)</f>
        <v>0</v>
      </c>
      <c r="BI80">
        <f>IF(AND(COUNTIF($BI$81:$BI$87,"P")=1,COUNTIF($BI$81:$BI$87,"B")=DTKA_FEC_OVERLAP),1,0)</f>
        <v>0</v>
      </c>
      <c r="BJ80">
        <f>IF(AND(COUNTIF($BJ$81:$BJ$87,"P")=1,COUNTIF($BJ$81:$BJ$87,"B")=DTKA_FEC_OVERLAP),1,0)</f>
        <v>0</v>
      </c>
      <c r="BK80">
        <f>IF(AND(COUNTIF($BK$81:$BK$87,"P")=1,COUNTIF($BK$81:$BK$87,"B")=DTKA_FEC_OVERLAP),1,0)</f>
        <v>0</v>
      </c>
    </row>
    <row r="81" spans="1:63" x14ac:dyDescent="0.25">
      <c r="A81" s="97"/>
      <c r="B81" t="s">
        <v>22</v>
      </c>
      <c r="C81" t="s">
        <v>24</v>
      </c>
      <c r="D81" t="str">
        <f t="shared" ref="D81:M81" si="36">IF($C$81="running","P","")</f>
        <v>P</v>
      </c>
      <c r="E81" t="str">
        <f t="shared" si="36"/>
        <v>P</v>
      </c>
      <c r="F81" t="str">
        <f t="shared" si="36"/>
        <v>P</v>
      </c>
      <c r="G81" t="str">
        <f t="shared" si="36"/>
        <v>P</v>
      </c>
      <c r="H81" t="str">
        <f t="shared" si="36"/>
        <v>P</v>
      </c>
      <c r="I81" t="str">
        <f t="shared" si="36"/>
        <v>P</v>
      </c>
      <c r="J81" t="str">
        <f t="shared" si="36"/>
        <v>P</v>
      </c>
      <c r="K81" t="str">
        <f t="shared" si="36"/>
        <v>P</v>
      </c>
      <c r="L81" t="str">
        <f t="shared" si="36"/>
        <v>P</v>
      </c>
      <c r="M81" t="str">
        <f t="shared" si="36"/>
        <v>P</v>
      </c>
      <c r="N81" t="str">
        <f t="shared" ref="N81:W81" si="37">IF($C$81="running","B","")</f>
        <v>B</v>
      </c>
      <c r="O81" t="str">
        <f t="shared" si="37"/>
        <v>B</v>
      </c>
      <c r="P81" t="str">
        <f t="shared" si="37"/>
        <v>B</v>
      </c>
      <c r="Q81" t="str">
        <f t="shared" si="37"/>
        <v>B</v>
      </c>
      <c r="R81" t="str">
        <f t="shared" si="37"/>
        <v>B</v>
      </c>
      <c r="S81" t="str">
        <f t="shared" si="37"/>
        <v>B</v>
      </c>
      <c r="T81" t="str">
        <f t="shared" si="37"/>
        <v>B</v>
      </c>
      <c r="U81" t="str">
        <f t="shared" si="37"/>
        <v>B</v>
      </c>
      <c r="V81" t="str">
        <f t="shared" si="37"/>
        <v>B</v>
      </c>
      <c r="W81" t="str">
        <f t="shared" si="37"/>
        <v>B</v>
      </c>
      <c r="AZ81" s="6"/>
      <c r="BA81" s="9"/>
    </row>
    <row r="82" spans="1:63" x14ac:dyDescent="0.25">
      <c r="A82" s="97"/>
      <c r="B82" t="s">
        <v>23</v>
      </c>
      <c r="C82" t="s">
        <v>119</v>
      </c>
      <c r="N82" t="str">
        <f t="shared" ref="N82:W82" si="38">IF($C$82="running","P","")</f>
        <v/>
      </c>
      <c r="O82" t="str">
        <f t="shared" si="38"/>
        <v/>
      </c>
      <c r="P82" t="str">
        <f t="shared" si="38"/>
        <v/>
      </c>
      <c r="Q82" t="str">
        <f t="shared" si="38"/>
        <v/>
      </c>
      <c r="R82" t="str">
        <f t="shared" si="38"/>
        <v/>
      </c>
      <c r="S82" t="str">
        <f t="shared" si="38"/>
        <v/>
      </c>
      <c r="T82" t="str">
        <f t="shared" si="38"/>
        <v/>
      </c>
      <c r="U82" t="str">
        <f t="shared" si="38"/>
        <v/>
      </c>
      <c r="V82" t="str">
        <f t="shared" si="38"/>
        <v/>
      </c>
      <c r="W82" t="str">
        <f t="shared" si="38"/>
        <v/>
      </c>
      <c r="X82" t="str">
        <f t="shared" ref="X82:AG82" si="39">IF($C$82="running","B","")</f>
        <v/>
      </c>
      <c r="Y82" t="str">
        <f t="shared" si="39"/>
        <v/>
      </c>
      <c r="Z82" t="str">
        <f t="shared" si="39"/>
        <v/>
      </c>
      <c r="AA82" t="str">
        <f t="shared" si="39"/>
        <v/>
      </c>
      <c r="AB82" t="str">
        <f t="shared" si="39"/>
        <v/>
      </c>
      <c r="AC82" t="str">
        <f t="shared" si="39"/>
        <v/>
      </c>
      <c r="AD82" t="str">
        <f t="shared" si="39"/>
        <v/>
      </c>
      <c r="AE82" t="str">
        <f t="shared" si="39"/>
        <v/>
      </c>
      <c r="AF82" t="str">
        <f t="shared" si="39"/>
        <v/>
      </c>
      <c r="AG82" t="str">
        <f t="shared" si="39"/>
        <v/>
      </c>
      <c r="AZ82" s="6"/>
      <c r="BA82" s="9"/>
    </row>
    <row r="83" spans="1:63" x14ac:dyDescent="0.25">
      <c r="A83" s="97"/>
      <c r="B83" t="s">
        <v>94</v>
      </c>
      <c r="C83" t="s">
        <v>24</v>
      </c>
      <c r="X83" t="str">
        <f t="shared" ref="X83:AG83" si="40">IF($C$83="running","P","")</f>
        <v>P</v>
      </c>
      <c r="Y83" t="str">
        <f t="shared" si="40"/>
        <v>P</v>
      </c>
      <c r="Z83" t="str">
        <f t="shared" si="40"/>
        <v>P</v>
      </c>
      <c r="AA83" t="str">
        <f t="shared" si="40"/>
        <v>P</v>
      </c>
      <c r="AB83" t="str">
        <f t="shared" si="40"/>
        <v>P</v>
      </c>
      <c r="AC83" t="str">
        <f t="shared" si="40"/>
        <v>P</v>
      </c>
      <c r="AD83" t="str">
        <f t="shared" si="40"/>
        <v>P</v>
      </c>
      <c r="AE83" t="str">
        <f t="shared" si="40"/>
        <v>P</v>
      </c>
      <c r="AF83" t="str">
        <f t="shared" si="40"/>
        <v>P</v>
      </c>
      <c r="AG83" t="str">
        <f t="shared" si="40"/>
        <v>P</v>
      </c>
      <c r="AH83" t="str">
        <f t="shared" ref="AH83:AQ83" si="41">IF($C$83="running","B","")</f>
        <v>B</v>
      </c>
      <c r="AI83" t="str">
        <f t="shared" si="41"/>
        <v>B</v>
      </c>
      <c r="AJ83" t="str">
        <f t="shared" si="41"/>
        <v>B</v>
      </c>
      <c r="AK83" t="str">
        <f t="shared" si="41"/>
        <v>B</v>
      </c>
      <c r="AL83" t="str">
        <f t="shared" si="41"/>
        <v>B</v>
      </c>
      <c r="AM83" t="str">
        <f t="shared" si="41"/>
        <v>B</v>
      </c>
      <c r="AN83" t="str">
        <f t="shared" si="41"/>
        <v>B</v>
      </c>
      <c r="AO83" t="str">
        <f t="shared" si="41"/>
        <v>B</v>
      </c>
      <c r="AP83" t="str">
        <f t="shared" si="41"/>
        <v>B</v>
      </c>
      <c r="AQ83" t="str">
        <f t="shared" si="41"/>
        <v>B</v>
      </c>
      <c r="AZ83" s="6"/>
      <c r="BA83" s="9"/>
    </row>
    <row r="84" spans="1:63" x14ac:dyDescent="0.25">
      <c r="A84" s="97"/>
      <c r="B84" t="s">
        <v>95</v>
      </c>
      <c r="C84" t="s">
        <v>119</v>
      </c>
      <c r="AH84" t="str">
        <f t="shared" ref="AH84:AQ84" si="42">IF($C$84="running","P","")</f>
        <v/>
      </c>
      <c r="AI84" t="str">
        <f t="shared" si="42"/>
        <v/>
      </c>
      <c r="AJ84" t="str">
        <f t="shared" si="42"/>
        <v/>
      </c>
      <c r="AK84" t="str">
        <f t="shared" si="42"/>
        <v/>
      </c>
      <c r="AL84" t="str">
        <f t="shared" si="42"/>
        <v/>
      </c>
      <c r="AM84" t="str">
        <f t="shared" si="42"/>
        <v/>
      </c>
      <c r="AN84" t="str">
        <f t="shared" si="42"/>
        <v/>
      </c>
      <c r="AO84" t="str">
        <f t="shared" si="42"/>
        <v/>
      </c>
      <c r="AP84" t="str">
        <f t="shared" si="42"/>
        <v/>
      </c>
      <c r="AQ84" t="str">
        <f t="shared" si="42"/>
        <v/>
      </c>
      <c r="AR84" t="str">
        <f t="shared" ref="AR84:BA84" si="43">IF($C$84="running","B","")</f>
        <v/>
      </c>
      <c r="AS84" t="str">
        <f t="shared" si="43"/>
        <v/>
      </c>
      <c r="AT84" t="str">
        <f t="shared" si="43"/>
        <v/>
      </c>
      <c r="AU84" t="str">
        <f t="shared" si="43"/>
        <v/>
      </c>
      <c r="AV84" t="str">
        <f t="shared" si="43"/>
        <v/>
      </c>
      <c r="AW84" t="str">
        <f t="shared" si="43"/>
        <v/>
      </c>
      <c r="AX84" t="str">
        <f t="shared" si="43"/>
        <v/>
      </c>
      <c r="AY84" t="str">
        <f t="shared" si="43"/>
        <v/>
      </c>
      <c r="AZ84" s="6" t="str">
        <f t="shared" si="43"/>
        <v/>
      </c>
      <c r="BA84" s="9" t="str">
        <f t="shared" si="43"/>
        <v/>
      </c>
    </row>
    <row r="85" spans="1:63" x14ac:dyDescent="0.25">
      <c r="A85" s="97"/>
      <c r="B85" t="s">
        <v>96</v>
      </c>
      <c r="C85" t="s">
        <v>24</v>
      </c>
      <c r="AR85" t="str">
        <f t="shared" ref="AR85:BA85" si="44">IF($C$85="running","P","")</f>
        <v>P</v>
      </c>
      <c r="AS85" t="str">
        <f t="shared" si="44"/>
        <v>P</v>
      </c>
      <c r="AT85" t="str">
        <f t="shared" si="44"/>
        <v>P</v>
      </c>
      <c r="AU85" t="str">
        <f t="shared" si="44"/>
        <v>P</v>
      </c>
      <c r="AV85" t="str">
        <f t="shared" si="44"/>
        <v>P</v>
      </c>
      <c r="AW85" t="str">
        <f t="shared" si="44"/>
        <v>P</v>
      </c>
      <c r="AX85" t="str">
        <f t="shared" si="44"/>
        <v>P</v>
      </c>
      <c r="AY85" t="str">
        <f t="shared" si="44"/>
        <v>P</v>
      </c>
      <c r="AZ85" s="6" t="str">
        <f t="shared" si="44"/>
        <v>P</v>
      </c>
      <c r="BA85" s="9" t="str">
        <f t="shared" si="44"/>
        <v>P</v>
      </c>
      <c r="BB85" t="str">
        <f t="shared" ref="BB85:BK85" si="45">IF($C$85="running","B","")</f>
        <v>B</v>
      </c>
      <c r="BC85" t="str">
        <f t="shared" si="45"/>
        <v>B</v>
      </c>
      <c r="BD85" t="str">
        <f t="shared" si="45"/>
        <v>B</v>
      </c>
      <c r="BE85" t="str">
        <f t="shared" si="45"/>
        <v>B</v>
      </c>
      <c r="BF85" t="str">
        <f t="shared" si="45"/>
        <v>B</v>
      </c>
      <c r="BG85" t="str">
        <f t="shared" si="45"/>
        <v>B</v>
      </c>
      <c r="BH85" t="str">
        <f t="shared" si="45"/>
        <v>B</v>
      </c>
      <c r="BI85" t="str">
        <f t="shared" si="45"/>
        <v>B</v>
      </c>
      <c r="BJ85" t="str">
        <f t="shared" si="45"/>
        <v>B</v>
      </c>
      <c r="BK85" t="str">
        <f t="shared" si="45"/>
        <v>B</v>
      </c>
    </row>
    <row r="86" spans="1:63" x14ac:dyDescent="0.25">
      <c r="A86" s="97"/>
      <c r="B86" t="s">
        <v>97</v>
      </c>
      <c r="C86" t="s">
        <v>119</v>
      </c>
      <c r="D86" t="str">
        <f t="shared" ref="D86:M86" si="46">IF($C$86="running","B","")</f>
        <v/>
      </c>
      <c r="E86" t="str">
        <f t="shared" si="46"/>
        <v/>
      </c>
      <c r="F86" t="str">
        <f t="shared" si="46"/>
        <v/>
      </c>
      <c r="G86" t="str">
        <f t="shared" si="46"/>
        <v/>
      </c>
      <c r="H86" t="str">
        <f t="shared" si="46"/>
        <v/>
      </c>
      <c r="I86" t="str">
        <f t="shared" si="46"/>
        <v/>
      </c>
      <c r="J86" t="str">
        <f t="shared" si="46"/>
        <v/>
      </c>
      <c r="K86" t="str">
        <f t="shared" si="46"/>
        <v/>
      </c>
      <c r="L86" t="str">
        <f t="shared" si="46"/>
        <v/>
      </c>
      <c r="M86" t="str">
        <f t="shared" si="46"/>
        <v/>
      </c>
      <c r="AZ86" s="6"/>
      <c r="BA86" s="9"/>
      <c r="BB86" t="str">
        <f t="shared" ref="BB86:BK86" si="47">IF($C$86="running","P","")</f>
        <v/>
      </c>
      <c r="BC86" t="str">
        <f t="shared" si="47"/>
        <v/>
      </c>
      <c r="BD86" t="str">
        <f t="shared" si="47"/>
        <v/>
      </c>
      <c r="BE86" t="str">
        <f t="shared" si="47"/>
        <v/>
      </c>
      <c r="BF86" t="str">
        <f t="shared" si="47"/>
        <v/>
      </c>
      <c r="BG86" t="str">
        <f t="shared" si="47"/>
        <v/>
      </c>
      <c r="BH86" t="str">
        <f t="shared" si="47"/>
        <v/>
      </c>
      <c r="BI86" t="str">
        <f t="shared" si="47"/>
        <v/>
      </c>
      <c r="BJ86" t="str">
        <f t="shared" si="47"/>
        <v/>
      </c>
      <c r="BK86" t="str">
        <f t="shared" si="47"/>
        <v/>
      </c>
    </row>
    <row r="87" spans="1:63" x14ac:dyDescent="0.25">
      <c r="A87" s="97"/>
      <c r="B87" s="101" t="s">
        <v>25</v>
      </c>
      <c r="C87" s="3">
        <f>SUM($D$87:$BK$87)</f>
        <v>60</v>
      </c>
      <c r="D87">
        <f>IF(COUNTBLANK($D$81:$D$86)=6,0,1)</f>
        <v>1</v>
      </c>
      <c r="E87">
        <f>IF(COUNTBLANK($E$81:$E$86)=6,0,1)</f>
        <v>1</v>
      </c>
      <c r="F87">
        <f>IF(COUNTBLANK($F$81:$F$86)=6,0,1)</f>
        <v>1</v>
      </c>
      <c r="G87">
        <f>IF(COUNTBLANK($G$81:$G$86)=6,0,1)</f>
        <v>1</v>
      </c>
      <c r="H87">
        <f>IF(COUNTBLANK($H$81:$H$86)=6,0,1)</f>
        <v>1</v>
      </c>
      <c r="I87">
        <f>IF(COUNTBLANK($I$81:$I$86)=6,0,1)</f>
        <v>1</v>
      </c>
      <c r="J87">
        <f>IF(COUNTBLANK($J$81:$J$86)=6,0,1)</f>
        <v>1</v>
      </c>
      <c r="K87">
        <f>IF(COUNTBLANK($K$81:$K$86)=6,0,1)</f>
        <v>1</v>
      </c>
      <c r="L87">
        <f>IF(COUNTBLANK($L$81:$L$86)=6,0,1)</f>
        <v>1</v>
      </c>
      <c r="M87">
        <f>IF(COUNTBLANK($M$81:$M$86)=6,0,1)</f>
        <v>1</v>
      </c>
      <c r="N87">
        <f>IF(COUNTBLANK($N$81:$N$86)=6,0,1)</f>
        <v>1</v>
      </c>
      <c r="O87">
        <f>IF(COUNTBLANK($O$81:$O$86)=6,0,1)</f>
        <v>1</v>
      </c>
      <c r="P87">
        <f>IF(COUNTBLANK($P$81:$P$86)=6,0,1)</f>
        <v>1</v>
      </c>
      <c r="Q87">
        <f>IF(COUNTBLANK($Q$81:$Q$86)=6,0,1)</f>
        <v>1</v>
      </c>
      <c r="R87">
        <f>IF(COUNTBLANK($R$81:$R$86)=6,0,1)</f>
        <v>1</v>
      </c>
      <c r="S87">
        <f>IF(COUNTBLANK($S$81:$S$86)=6,0,1)</f>
        <v>1</v>
      </c>
      <c r="T87">
        <f>IF(COUNTBLANK($T$81:$T$86)=6,0,1)</f>
        <v>1</v>
      </c>
      <c r="U87">
        <f>IF(COUNTBLANK($U$81:$U$86)=6,0,1)</f>
        <v>1</v>
      </c>
      <c r="V87">
        <f>IF(COUNTBLANK($V$81:$V$86)=6,0,1)</f>
        <v>1</v>
      </c>
      <c r="W87">
        <f>IF(COUNTBLANK($W$81:$W$86)=6,0,1)</f>
        <v>1</v>
      </c>
      <c r="X87">
        <f>IF(COUNTBLANK($X$81:$X$86)=6,0,1)</f>
        <v>1</v>
      </c>
      <c r="Y87">
        <f>IF(COUNTBLANK($Y$81:$Y$86)=6,0,1)</f>
        <v>1</v>
      </c>
      <c r="Z87">
        <f>IF(COUNTBLANK($Z$81:$Z$86)=6,0,1)</f>
        <v>1</v>
      </c>
      <c r="AA87">
        <f>IF(COUNTBLANK($AA$81:$AA$86)=6,0,1)</f>
        <v>1</v>
      </c>
      <c r="AB87">
        <f>IF(COUNTBLANK($AB$81:$AB$86)=6,0,1)</f>
        <v>1</v>
      </c>
      <c r="AC87">
        <f>IF(COUNTBLANK($AC$81:$AC$86)=6,0,1)</f>
        <v>1</v>
      </c>
      <c r="AD87">
        <f>IF(COUNTBLANK($AD$81:$AD$86)=6,0,1)</f>
        <v>1</v>
      </c>
      <c r="AE87">
        <f>IF(COUNTBLANK($AE$81:$AE$86)=6,0,1)</f>
        <v>1</v>
      </c>
      <c r="AF87">
        <f>IF(COUNTBLANK($AF$81:$AF$86)=6,0,1)</f>
        <v>1</v>
      </c>
      <c r="AG87">
        <f>IF(COUNTBLANK($AG$81:$AG$86)=6,0,1)</f>
        <v>1</v>
      </c>
      <c r="AH87">
        <f>IF(COUNTBLANK($AH$81:$AH$86)=6,0,1)</f>
        <v>1</v>
      </c>
      <c r="AI87">
        <f>IF(COUNTBLANK($AI$81:$AI$86)=6,0,1)</f>
        <v>1</v>
      </c>
      <c r="AJ87">
        <f>IF(COUNTBLANK($AJ$81:$AJ$86)=6,0,1)</f>
        <v>1</v>
      </c>
      <c r="AK87">
        <f>IF(COUNTBLANK($AK$81:$AK$86)=6,0,1)</f>
        <v>1</v>
      </c>
      <c r="AL87">
        <f>IF(COUNTBLANK($AL$81:$AL$86)=6,0,1)</f>
        <v>1</v>
      </c>
      <c r="AM87">
        <f>IF(COUNTBLANK($AM$81:$AM$86)=6,0,1)</f>
        <v>1</v>
      </c>
      <c r="AN87">
        <f>IF(COUNTBLANK($AN$81:$AN$86)=6,0,1)</f>
        <v>1</v>
      </c>
      <c r="AO87">
        <f>IF(COUNTBLANK($AO$81:$AO$86)=6,0,1)</f>
        <v>1</v>
      </c>
      <c r="AP87">
        <f>IF(COUNTBLANK($AP$81:$AP$86)=6,0,1)</f>
        <v>1</v>
      </c>
      <c r="AQ87">
        <f>IF(COUNTBLANK($AQ$81:$AQ$86)=6,0,1)</f>
        <v>1</v>
      </c>
      <c r="AR87">
        <f>IF(COUNTBLANK($AR$81:$AR$86)=6,0,1)</f>
        <v>1</v>
      </c>
      <c r="AS87">
        <f>IF(COUNTBLANK($AS$81:$AS$86)=6,0,1)</f>
        <v>1</v>
      </c>
      <c r="AT87">
        <f>IF(COUNTBLANK($AT$81:$AT$86)=6,0,1)</f>
        <v>1</v>
      </c>
      <c r="AU87">
        <f>IF(COUNTBLANK($AU$81:$AU$86)=6,0,1)</f>
        <v>1</v>
      </c>
      <c r="AV87">
        <f>IF(COUNTBLANK($AV$81:$AV$86)=6,0,1)</f>
        <v>1</v>
      </c>
      <c r="AW87">
        <f>IF(COUNTBLANK($AW$81:$AW$86)=6,0,1)</f>
        <v>1</v>
      </c>
      <c r="AX87">
        <f>IF(COUNTBLANK($AX$81:$AX$86)=6,0,1)</f>
        <v>1</v>
      </c>
      <c r="AY87">
        <f>IF(COUNTBLANK($AY$81:$AY$86)=6,0,1)</f>
        <v>1</v>
      </c>
      <c r="AZ87" s="6">
        <f>IF(COUNTBLANK($AZ$81:$AZ$86)=6,0,1)</f>
        <v>1</v>
      </c>
      <c r="BA87" s="9">
        <f>IF(COUNTBLANK($BA$81:$BA$86)=6,0,1)</f>
        <v>1</v>
      </c>
      <c r="BB87">
        <f>IF(COUNTBLANK($BB$81:$BB$86)=6,0,1)</f>
        <v>1</v>
      </c>
      <c r="BC87">
        <f>IF(COUNTBLANK($BC$81:$BC$86)=6,0,1)</f>
        <v>1</v>
      </c>
      <c r="BD87">
        <f>IF(COUNTBLANK($BD$81:$BD$86)=6,0,1)</f>
        <v>1</v>
      </c>
      <c r="BE87">
        <f>IF(COUNTBLANK($BE$81:$BE$86)=6,0,1)</f>
        <v>1</v>
      </c>
      <c r="BF87">
        <f>IF(COUNTBLANK($BF$81:$BF$86)=6,0,1)</f>
        <v>1</v>
      </c>
      <c r="BG87">
        <f>IF(COUNTBLANK($BG$81:$BG$86)=6,0,1)</f>
        <v>1</v>
      </c>
      <c r="BH87">
        <f>IF(COUNTBLANK($BH$81:$BH$86)=6,0,1)</f>
        <v>1</v>
      </c>
      <c r="BI87">
        <f>IF(COUNTBLANK($BI$81:$BI$86)=6,0,1)</f>
        <v>1</v>
      </c>
      <c r="BJ87">
        <f>IF(COUNTBLANK($BJ$81:$BJ$86)=6,0,1)</f>
        <v>1</v>
      </c>
      <c r="BK87">
        <f>IF(COUNTBLANK($BK$81:$BK$86)=6,0,1)</f>
        <v>1</v>
      </c>
    </row>
    <row r="88" spans="1:63" x14ac:dyDescent="0.25">
      <c r="A88" s="97"/>
      <c r="B88" s="101"/>
      <c r="C88" s="7">
        <f>$C$87/60</f>
        <v>1</v>
      </c>
    </row>
    <row r="89" spans="1:63" x14ac:dyDescent="0.25">
      <c r="A89" s="97"/>
      <c r="B89" s="101" t="s">
        <v>28</v>
      </c>
      <c r="C89" s="3">
        <f>60-(SUM($D$87:$BK$87))</f>
        <v>0</v>
      </c>
    </row>
    <row r="90" spans="1:63" x14ac:dyDescent="0.25">
      <c r="A90" s="97"/>
      <c r="B90" s="101"/>
      <c r="C90" s="7">
        <f>$C$89/60</f>
        <v>0</v>
      </c>
    </row>
    <row r="91" spans="1:63" x14ac:dyDescent="0.25">
      <c r="A91" s="97"/>
      <c r="B91" s="2" t="s">
        <v>91</v>
      </c>
      <c r="C91" s="10" t="str">
        <f>IF($C$87&gt;=50,"YES","NO")</f>
        <v>YES</v>
      </c>
    </row>
    <row r="92" spans="1:63" x14ac:dyDescent="0.25">
      <c r="A92" s="97"/>
      <c r="B92" s="101" t="s">
        <v>27</v>
      </c>
      <c r="C92" s="3">
        <f>COUNTIF($C$81:$C$86,"running")</f>
        <v>3</v>
      </c>
    </row>
    <row r="93" spans="1:63" x14ac:dyDescent="0.25">
      <c r="A93" s="97"/>
      <c r="B93" s="101"/>
      <c r="C93" s="7">
        <f>$C$92/6</f>
        <v>0.5</v>
      </c>
    </row>
    <row r="94" spans="1:63" x14ac:dyDescent="0.25">
      <c r="A94" s="97"/>
      <c r="B94" s="101" t="s">
        <v>29</v>
      </c>
      <c r="C94" s="3">
        <f>COUNTIF($C$81:$C$86,"failing")</f>
        <v>3</v>
      </c>
    </row>
    <row r="95" spans="1:63" x14ac:dyDescent="0.25">
      <c r="A95" s="97"/>
      <c r="B95" s="101"/>
      <c r="C95" s="7">
        <f>$C$94/6</f>
        <v>0.5</v>
      </c>
    </row>
    <row r="96" spans="1:63" x14ac:dyDescent="0.25">
      <c r="A96" s="97"/>
      <c r="B96" s="101" t="s">
        <v>30</v>
      </c>
      <c r="C96" s="3">
        <f>COUNTIF($D$81:$BK$86,"P")+COUNTIF($D$81:$BK$86,"B")</f>
        <v>60</v>
      </c>
    </row>
    <row r="97" spans="1:3" x14ac:dyDescent="0.25">
      <c r="A97" s="97"/>
      <c r="B97" s="101"/>
      <c r="C97" s="7">
        <f>$C$96/120</f>
        <v>0.5</v>
      </c>
    </row>
    <row r="98" spans="1:3" x14ac:dyDescent="0.25">
      <c r="A98" s="97"/>
      <c r="B98" s="101" t="s">
        <v>31</v>
      </c>
      <c r="C98" s="3">
        <f>120-(COUNTIF($D$81:$BK$86,"P")+COUNTIF($D$81:$BK$86,"B"))</f>
        <v>60</v>
      </c>
    </row>
    <row r="99" spans="1:3" x14ac:dyDescent="0.25">
      <c r="A99" s="97"/>
      <c r="B99" s="101"/>
      <c r="C99" s="7">
        <f>$C$98/120</f>
        <v>0.5</v>
      </c>
    </row>
  </sheetData>
  <mergeCells count="36">
    <mergeCell ref="A52:A74"/>
    <mergeCell ref="D52:BA52"/>
    <mergeCell ref="BB52:BK52"/>
    <mergeCell ref="D2:BA2"/>
    <mergeCell ref="BB2:BK2"/>
    <mergeCell ref="B14:B15"/>
    <mergeCell ref="B19:B20"/>
    <mergeCell ref="B21:B22"/>
    <mergeCell ref="B23:B24"/>
    <mergeCell ref="A2:A24"/>
    <mergeCell ref="B12:B13"/>
    <mergeCell ref="B17:B18"/>
    <mergeCell ref="A27:A49"/>
    <mergeCell ref="D27:BA27"/>
    <mergeCell ref="BB27:BK27"/>
    <mergeCell ref="B37:B38"/>
    <mergeCell ref="B39:B40"/>
    <mergeCell ref="B73:B74"/>
    <mergeCell ref="B46:B47"/>
    <mergeCell ref="B48:B49"/>
    <mergeCell ref="B42:B43"/>
    <mergeCell ref="B44:B45"/>
    <mergeCell ref="B62:B63"/>
    <mergeCell ref="B64:B65"/>
    <mergeCell ref="B67:B68"/>
    <mergeCell ref="B69:B70"/>
    <mergeCell ref="B71:B72"/>
    <mergeCell ref="A77:A99"/>
    <mergeCell ref="D77:BA77"/>
    <mergeCell ref="BB77:BK77"/>
    <mergeCell ref="B87:B88"/>
    <mergeCell ref="B89:B90"/>
    <mergeCell ref="B92:B93"/>
    <mergeCell ref="B94:B95"/>
    <mergeCell ref="B96:B97"/>
    <mergeCell ref="B98:B99"/>
  </mergeCells>
  <conditionalFormatting sqref="B6">
    <cfRule type="expression" dxfId="1009" priority="7" stopIfTrue="1">
      <formula>$C$6="running"</formula>
    </cfRule>
    <cfRule type="expression" dxfId="1008" priority="8" stopIfTrue="1">
      <formula>$C$6="failing"</formula>
    </cfRule>
  </conditionalFormatting>
  <conditionalFormatting sqref="B7">
    <cfRule type="expression" dxfId="1007" priority="9" stopIfTrue="1">
      <formula>$C$7="running"</formula>
    </cfRule>
    <cfRule type="expression" dxfId="1006" priority="10" stopIfTrue="1">
      <formula>$C$7="failing"</formula>
    </cfRule>
  </conditionalFormatting>
  <conditionalFormatting sqref="B8">
    <cfRule type="expression" dxfId="1005" priority="11" stopIfTrue="1">
      <formula>$C$8="running"</formula>
    </cfRule>
    <cfRule type="expression" dxfId="1004" priority="12" stopIfTrue="1">
      <formula>$C$8="failing"</formula>
    </cfRule>
  </conditionalFormatting>
  <conditionalFormatting sqref="B9">
    <cfRule type="expression" dxfId="1003" priority="13" stopIfTrue="1">
      <formula>$C$9="running"</formula>
    </cfRule>
    <cfRule type="expression" dxfId="1002" priority="14" stopIfTrue="1">
      <formula>$C$9="failing"</formula>
    </cfRule>
  </conditionalFormatting>
  <conditionalFormatting sqref="B10">
    <cfRule type="expression" dxfId="1001" priority="15" stopIfTrue="1">
      <formula>$C$10="running"</formula>
    </cfRule>
    <cfRule type="expression" dxfId="1000" priority="16" stopIfTrue="1">
      <formula>$C$10="failing"</formula>
    </cfRule>
  </conditionalFormatting>
  <conditionalFormatting sqref="B11">
    <cfRule type="expression" dxfId="999" priority="17" stopIfTrue="1">
      <formula>$C$11="running"</formula>
    </cfRule>
    <cfRule type="expression" dxfId="998" priority="18" stopIfTrue="1">
      <formula>$C$11="failing"</formula>
    </cfRule>
  </conditionalFormatting>
  <conditionalFormatting sqref="D6">
    <cfRule type="expression" dxfId="997" priority="19" stopIfTrue="1">
      <formula>$D$6="P"</formula>
    </cfRule>
    <cfRule type="expression" dxfId="996" priority="20" stopIfTrue="1">
      <formula>$D$6="B"</formula>
    </cfRule>
  </conditionalFormatting>
  <conditionalFormatting sqref="E6">
    <cfRule type="expression" dxfId="995" priority="21" stopIfTrue="1">
      <formula>$E$6="P"</formula>
    </cfRule>
    <cfRule type="expression" dxfId="994" priority="22" stopIfTrue="1">
      <formula>$E$6="B"</formula>
    </cfRule>
  </conditionalFormatting>
  <conditionalFormatting sqref="F6">
    <cfRule type="expression" dxfId="993" priority="23" stopIfTrue="1">
      <formula>$F$6="P"</formula>
    </cfRule>
    <cfRule type="expression" dxfId="992" priority="24" stopIfTrue="1">
      <formula>$F$6="B"</formula>
    </cfRule>
  </conditionalFormatting>
  <conditionalFormatting sqref="G6">
    <cfRule type="expression" dxfId="991" priority="25" stopIfTrue="1">
      <formula>$G$6="P"</formula>
    </cfRule>
    <cfRule type="expression" dxfId="990" priority="26" stopIfTrue="1">
      <formula>$G$6="B"</formula>
    </cfRule>
  </conditionalFormatting>
  <conditionalFormatting sqref="H6">
    <cfRule type="expression" dxfId="989" priority="27" stopIfTrue="1">
      <formula>$H$6="P"</formula>
    </cfRule>
    <cfRule type="expression" dxfId="988" priority="28" stopIfTrue="1">
      <formula>$H$6="B"</formula>
    </cfRule>
  </conditionalFormatting>
  <conditionalFormatting sqref="I6">
    <cfRule type="expression" dxfId="987" priority="29" stopIfTrue="1">
      <formula>$I$6="P"</formula>
    </cfRule>
    <cfRule type="expression" dxfId="986" priority="30" stopIfTrue="1">
      <formula>$I$6="B"</formula>
    </cfRule>
  </conditionalFormatting>
  <conditionalFormatting sqref="J6">
    <cfRule type="expression" dxfId="985" priority="31" stopIfTrue="1">
      <formula>$J$6="P"</formula>
    </cfRule>
    <cfRule type="expression" dxfId="984" priority="32" stopIfTrue="1">
      <formula>$J$6="B"</formula>
    </cfRule>
  </conditionalFormatting>
  <conditionalFormatting sqref="K6">
    <cfRule type="expression" dxfId="983" priority="33" stopIfTrue="1">
      <formula>$K$6="P"</formula>
    </cfRule>
    <cfRule type="expression" dxfId="982" priority="34" stopIfTrue="1">
      <formula>$K$6="B"</formula>
    </cfRule>
  </conditionalFormatting>
  <conditionalFormatting sqref="L6">
    <cfRule type="expression" dxfId="981" priority="35" stopIfTrue="1">
      <formula>$L$6="P"</formula>
    </cfRule>
    <cfRule type="expression" dxfId="980" priority="36" stopIfTrue="1">
      <formula>$L$6="B"</formula>
    </cfRule>
  </conditionalFormatting>
  <conditionalFormatting sqref="M6">
    <cfRule type="expression" dxfId="979" priority="37" stopIfTrue="1">
      <formula>$M$6="P"</formula>
    </cfRule>
    <cfRule type="expression" dxfId="978" priority="38" stopIfTrue="1">
      <formula>$M$6="B"</formula>
    </cfRule>
  </conditionalFormatting>
  <conditionalFormatting sqref="N6">
    <cfRule type="expression" dxfId="977" priority="39" stopIfTrue="1">
      <formula>$N$6="P"</formula>
    </cfRule>
    <cfRule type="expression" dxfId="976" priority="40" stopIfTrue="1">
      <formula>$N$6="B"</formula>
    </cfRule>
  </conditionalFormatting>
  <conditionalFormatting sqref="O6">
    <cfRule type="expression" dxfId="975" priority="41" stopIfTrue="1">
      <formula>$O$6="P"</formula>
    </cfRule>
    <cfRule type="expression" dxfId="974" priority="42" stopIfTrue="1">
      <formula>$O$6="B"</formula>
    </cfRule>
  </conditionalFormatting>
  <conditionalFormatting sqref="P6">
    <cfRule type="expression" dxfId="973" priority="43" stopIfTrue="1">
      <formula>$P$6="P"</formula>
    </cfRule>
  </conditionalFormatting>
  <conditionalFormatting sqref="P6">
    <cfRule type="expression" dxfId="972" priority="44" stopIfTrue="1">
      <formula>$P$6="B"</formula>
    </cfRule>
  </conditionalFormatting>
  <conditionalFormatting sqref="Q6">
    <cfRule type="expression" dxfId="971" priority="45" stopIfTrue="1">
      <formula>$Q$6="P"</formula>
    </cfRule>
  </conditionalFormatting>
  <conditionalFormatting sqref="Q6">
    <cfRule type="expression" dxfId="970" priority="46" stopIfTrue="1">
      <formula>$Q$6="B"</formula>
    </cfRule>
  </conditionalFormatting>
  <conditionalFormatting sqref="R6">
    <cfRule type="expression" dxfId="969" priority="47" stopIfTrue="1">
      <formula>$R$6="P"</formula>
    </cfRule>
  </conditionalFormatting>
  <conditionalFormatting sqref="R6">
    <cfRule type="expression" dxfId="968" priority="48" stopIfTrue="1">
      <formula>$R$6="B"</formula>
    </cfRule>
  </conditionalFormatting>
  <conditionalFormatting sqref="S6">
    <cfRule type="expression" dxfId="967" priority="49" stopIfTrue="1">
      <formula>$S$6="P"</formula>
    </cfRule>
  </conditionalFormatting>
  <conditionalFormatting sqref="S6">
    <cfRule type="expression" dxfId="966" priority="50" stopIfTrue="1">
      <formula>$S$6="B"</formula>
    </cfRule>
  </conditionalFormatting>
  <conditionalFormatting sqref="T6">
    <cfRule type="expression" dxfId="965" priority="51" stopIfTrue="1">
      <formula>$T$6="P"</formula>
    </cfRule>
  </conditionalFormatting>
  <conditionalFormatting sqref="T6">
    <cfRule type="expression" dxfId="964" priority="52" stopIfTrue="1">
      <formula>$T$6="B"</formula>
    </cfRule>
  </conditionalFormatting>
  <conditionalFormatting sqref="U6">
    <cfRule type="expression" dxfId="963" priority="53" stopIfTrue="1">
      <formula>$U$6="P"</formula>
    </cfRule>
  </conditionalFormatting>
  <conditionalFormatting sqref="U6">
    <cfRule type="expression" dxfId="962" priority="54" stopIfTrue="1">
      <formula>$U$6="B"</formula>
    </cfRule>
  </conditionalFormatting>
  <conditionalFormatting sqref="V6">
    <cfRule type="expression" dxfId="961" priority="55" stopIfTrue="1">
      <formula>$V$6="P"</formula>
    </cfRule>
  </conditionalFormatting>
  <conditionalFormatting sqref="V6">
    <cfRule type="expression" dxfId="960" priority="56" stopIfTrue="1">
      <formula>$V$6="B"</formula>
    </cfRule>
  </conditionalFormatting>
  <conditionalFormatting sqref="W6">
    <cfRule type="expression" dxfId="959" priority="57" stopIfTrue="1">
      <formula>$W$6="P"</formula>
    </cfRule>
  </conditionalFormatting>
  <conditionalFormatting sqref="W6">
    <cfRule type="expression" dxfId="958" priority="58" stopIfTrue="1">
      <formula>$W$6="B"</formula>
    </cfRule>
  </conditionalFormatting>
  <conditionalFormatting sqref="N7">
    <cfRule type="expression" dxfId="957" priority="59" stopIfTrue="1">
      <formula>$N$7="P"</formula>
    </cfRule>
  </conditionalFormatting>
  <conditionalFormatting sqref="N7">
    <cfRule type="expression" dxfId="956" priority="60" stopIfTrue="1">
      <formula>$N$7="B"</formula>
    </cfRule>
  </conditionalFormatting>
  <conditionalFormatting sqref="O7">
    <cfRule type="expression" dxfId="955" priority="61" stopIfTrue="1">
      <formula>$O$7="P"</formula>
    </cfRule>
  </conditionalFormatting>
  <conditionalFormatting sqref="O7">
    <cfRule type="expression" dxfId="954" priority="62" stopIfTrue="1">
      <formula>$O$7="B"</formula>
    </cfRule>
  </conditionalFormatting>
  <conditionalFormatting sqref="P7">
    <cfRule type="expression" dxfId="953" priority="63" stopIfTrue="1">
      <formula>$P$7="P"</formula>
    </cfRule>
  </conditionalFormatting>
  <conditionalFormatting sqref="P7">
    <cfRule type="expression" dxfId="952" priority="64" stopIfTrue="1">
      <formula>$P$7="B"</formula>
    </cfRule>
  </conditionalFormatting>
  <conditionalFormatting sqref="Q7">
    <cfRule type="expression" dxfId="951" priority="65" stopIfTrue="1">
      <formula>$Q$7="P"</formula>
    </cfRule>
  </conditionalFormatting>
  <conditionalFormatting sqref="Q7">
    <cfRule type="expression" dxfId="950" priority="66" stopIfTrue="1">
      <formula>$Q$7="B"</formula>
    </cfRule>
  </conditionalFormatting>
  <conditionalFormatting sqref="R7">
    <cfRule type="expression" dxfId="949" priority="67" stopIfTrue="1">
      <formula>$R$7="P"</formula>
    </cfRule>
  </conditionalFormatting>
  <conditionalFormatting sqref="R7">
    <cfRule type="expression" dxfId="948" priority="68" stopIfTrue="1">
      <formula>$R$7="B"</formula>
    </cfRule>
  </conditionalFormatting>
  <conditionalFormatting sqref="S7">
    <cfRule type="expression" dxfId="947" priority="69" stopIfTrue="1">
      <formula>$S$7="P"</formula>
    </cfRule>
  </conditionalFormatting>
  <conditionalFormatting sqref="S7">
    <cfRule type="expression" dxfId="946" priority="70" stopIfTrue="1">
      <formula>$S$7="B"</formula>
    </cfRule>
  </conditionalFormatting>
  <conditionalFormatting sqref="T7">
    <cfRule type="expression" dxfId="945" priority="71" stopIfTrue="1">
      <formula>$T$7="P"</formula>
    </cfRule>
  </conditionalFormatting>
  <conditionalFormatting sqref="T7">
    <cfRule type="expression" dxfId="944" priority="72" stopIfTrue="1">
      <formula>$T$7="B"</formula>
    </cfRule>
  </conditionalFormatting>
  <conditionalFormatting sqref="U7">
    <cfRule type="expression" dxfId="943" priority="73" stopIfTrue="1">
      <formula>$U$7="P"</formula>
    </cfRule>
  </conditionalFormatting>
  <conditionalFormatting sqref="U7">
    <cfRule type="expression" dxfId="942" priority="74" stopIfTrue="1">
      <formula>$U$7="B"</formula>
    </cfRule>
  </conditionalFormatting>
  <conditionalFormatting sqref="V7">
    <cfRule type="expression" dxfId="941" priority="75" stopIfTrue="1">
      <formula>$V$7="P"</formula>
    </cfRule>
  </conditionalFormatting>
  <conditionalFormatting sqref="V7">
    <cfRule type="expression" dxfId="940" priority="76" stopIfTrue="1">
      <formula>$V$7="B"</formula>
    </cfRule>
  </conditionalFormatting>
  <conditionalFormatting sqref="W7">
    <cfRule type="expression" dxfId="939" priority="77" stopIfTrue="1">
      <formula>$W$7="P"</formula>
    </cfRule>
  </conditionalFormatting>
  <conditionalFormatting sqref="W7">
    <cfRule type="expression" dxfId="938" priority="78" stopIfTrue="1">
      <formula>$W$7="B"</formula>
    </cfRule>
  </conditionalFormatting>
  <conditionalFormatting sqref="X7">
    <cfRule type="expression" dxfId="937" priority="79" stopIfTrue="1">
      <formula>$X$7="P"</formula>
    </cfRule>
  </conditionalFormatting>
  <conditionalFormatting sqref="X7">
    <cfRule type="expression" dxfId="936" priority="80" stopIfTrue="1">
      <formula>$X$7="B"</formula>
    </cfRule>
  </conditionalFormatting>
  <conditionalFormatting sqref="Y7">
    <cfRule type="expression" dxfId="935" priority="81" stopIfTrue="1">
      <formula>$Y$7="P"</formula>
    </cfRule>
  </conditionalFormatting>
  <conditionalFormatting sqref="Y7">
    <cfRule type="expression" dxfId="934" priority="82" stopIfTrue="1">
      <formula>$Y$7="B"</formula>
    </cfRule>
  </conditionalFormatting>
  <conditionalFormatting sqref="Z7">
    <cfRule type="expression" dxfId="933" priority="83" stopIfTrue="1">
      <formula>$Z$7="P"</formula>
    </cfRule>
  </conditionalFormatting>
  <conditionalFormatting sqref="Z7">
    <cfRule type="expression" dxfId="932" priority="84" stopIfTrue="1">
      <formula>$Z$7="B"</formula>
    </cfRule>
  </conditionalFormatting>
  <conditionalFormatting sqref="AA7">
    <cfRule type="expression" dxfId="931" priority="85" stopIfTrue="1">
      <formula>$AA$7="P"</formula>
    </cfRule>
  </conditionalFormatting>
  <conditionalFormatting sqref="AA7">
    <cfRule type="expression" dxfId="930" priority="86" stopIfTrue="1">
      <formula>$AA$7="B"</formula>
    </cfRule>
  </conditionalFormatting>
  <conditionalFormatting sqref="AB7">
    <cfRule type="expression" dxfId="929" priority="87" stopIfTrue="1">
      <formula>$AB$7="P"</formula>
    </cfRule>
  </conditionalFormatting>
  <conditionalFormatting sqref="AB7">
    <cfRule type="expression" dxfId="928" priority="88" stopIfTrue="1">
      <formula>$AB$7="B"</formula>
    </cfRule>
  </conditionalFormatting>
  <conditionalFormatting sqref="AC7">
    <cfRule type="expression" dxfId="927" priority="89" stopIfTrue="1">
      <formula>$AC$7="P"</formula>
    </cfRule>
  </conditionalFormatting>
  <conditionalFormatting sqref="AC7">
    <cfRule type="expression" dxfId="926" priority="90" stopIfTrue="1">
      <formula>$AC$7="B"</formula>
    </cfRule>
  </conditionalFormatting>
  <conditionalFormatting sqref="AD7">
    <cfRule type="expression" dxfId="925" priority="91" stopIfTrue="1">
      <formula>$AD$7="P"</formula>
    </cfRule>
  </conditionalFormatting>
  <conditionalFormatting sqref="AD7">
    <cfRule type="expression" dxfId="924" priority="92" stopIfTrue="1">
      <formula>$AD$7="B"</formula>
    </cfRule>
  </conditionalFormatting>
  <conditionalFormatting sqref="AE7">
    <cfRule type="expression" dxfId="923" priority="93" stopIfTrue="1">
      <formula>$AE$7="P"</formula>
    </cfRule>
  </conditionalFormatting>
  <conditionalFormatting sqref="AE7">
    <cfRule type="expression" dxfId="922" priority="94" stopIfTrue="1">
      <formula>$AE$7="B"</formula>
    </cfRule>
  </conditionalFormatting>
  <conditionalFormatting sqref="AF7">
    <cfRule type="expression" dxfId="921" priority="95" stopIfTrue="1">
      <formula>$AF$7="P"</formula>
    </cfRule>
  </conditionalFormatting>
  <conditionalFormatting sqref="AF7">
    <cfRule type="expression" dxfId="920" priority="96" stopIfTrue="1">
      <formula>$AF$7="B"</formula>
    </cfRule>
  </conditionalFormatting>
  <conditionalFormatting sqref="AG7">
    <cfRule type="expression" dxfId="919" priority="97" stopIfTrue="1">
      <formula>$AG$7="P"</formula>
    </cfRule>
  </conditionalFormatting>
  <conditionalFormatting sqref="AG7">
    <cfRule type="expression" dxfId="918" priority="98" stopIfTrue="1">
      <formula>$AG$7="B"</formula>
    </cfRule>
  </conditionalFormatting>
  <conditionalFormatting sqref="X8">
    <cfRule type="expression" dxfId="917" priority="99" stopIfTrue="1">
      <formula>$X$8="P"</formula>
    </cfRule>
  </conditionalFormatting>
  <conditionalFormatting sqref="X8">
    <cfRule type="expression" dxfId="916" priority="100" stopIfTrue="1">
      <formula>$X$8="B"</formula>
    </cfRule>
  </conditionalFormatting>
  <conditionalFormatting sqref="Y8">
    <cfRule type="expression" dxfId="915" priority="101" stopIfTrue="1">
      <formula>$Y$8="P"</formula>
    </cfRule>
  </conditionalFormatting>
  <conditionalFormatting sqref="Y8">
    <cfRule type="expression" dxfId="914" priority="102" stopIfTrue="1">
      <formula>$Y$8="B"</formula>
    </cfRule>
  </conditionalFormatting>
  <conditionalFormatting sqref="Z8">
    <cfRule type="expression" dxfId="913" priority="103" stopIfTrue="1">
      <formula>$Z$8="P"</formula>
    </cfRule>
  </conditionalFormatting>
  <conditionalFormatting sqref="Z8">
    <cfRule type="expression" dxfId="912" priority="104" stopIfTrue="1">
      <formula>$Z$8="B"</formula>
    </cfRule>
  </conditionalFormatting>
  <conditionalFormatting sqref="AA8">
    <cfRule type="expression" dxfId="911" priority="105" stopIfTrue="1">
      <formula>$AA$8="P"</formula>
    </cfRule>
  </conditionalFormatting>
  <conditionalFormatting sqref="AA8">
    <cfRule type="expression" dxfId="910" priority="106" stopIfTrue="1">
      <formula>$AA$8="B"</formula>
    </cfRule>
  </conditionalFormatting>
  <conditionalFormatting sqref="AB8">
    <cfRule type="expression" dxfId="909" priority="107" stopIfTrue="1">
      <formula>$AB$8="P"</formula>
    </cfRule>
  </conditionalFormatting>
  <conditionalFormatting sqref="AB8">
    <cfRule type="expression" dxfId="908" priority="108" stopIfTrue="1">
      <formula>$AB$8="B"</formula>
    </cfRule>
  </conditionalFormatting>
  <conditionalFormatting sqref="AC8">
    <cfRule type="expression" dxfId="907" priority="109" stopIfTrue="1">
      <formula>$AC$8="P"</formula>
    </cfRule>
  </conditionalFormatting>
  <conditionalFormatting sqref="AC8">
    <cfRule type="expression" dxfId="906" priority="110" stopIfTrue="1">
      <formula>$AC$8="B"</formula>
    </cfRule>
  </conditionalFormatting>
  <conditionalFormatting sqref="AD8">
    <cfRule type="expression" dxfId="905" priority="111" stopIfTrue="1">
      <formula>$AD$8="P"</formula>
    </cfRule>
  </conditionalFormatting>
  <conditionalFormatting sqref="AD8">
    <cfRule type="expression" dxfId="904" priority="112" stopIfTrue="1">
      <formula>$AD$8="B"</formula>
    </cfRule>
  </conditionalFormatting>
  <conditionalFormatting sqref="AE8">
    <cfRule type="expression" dxfId="903" priority="113" stopIfTrue="1">
      <formula>$AE$8="P"</formula>
    </cfRule>
  </conditionalFormatting>
  <conditionalFormatting sqref="AE8">
    <cfRule type="expression" dxfId="902" priority="114" stopIfTrue="1">
      <formula>$AE$8="B"</formula>
    </cfRule>
  </conditionalFormatting>
  <conditionalFormatting sqref="AF8">
    <cfRule type="expression" dxfId="901" priority="115" stopIfTrue="1">
      <formula>$AF$8="P"</formula>
    </cfRule>
  </conditionalFormatting>
  <conditionalFormatting sqref="AF8">
    <cfRule type="expression" dxfId="900" priority="116" stopIfTrue="1">
      <formula>$AF$8="B"</formula>
    </cfRule>
  </conditionalFormatting>
  <conditionalFormatting sqref="AG8">
    <cfRule type="expression" dxfId="899" priority="117" stopIfTrue="1">
      <formula>$AG$8="P"</formula>
    </cfRule>
  </conditionalFormatting>
  <conditionalFormatting sqref="AG8">
    <cfRule type="expression" dxfId="898" priority="118" stopIfTrue="1">
      <formula>$AG$8="B"</formula>
    </cfRule>
  </conditionalFormatting>
  <conditionalFormatting sqref="AH8">
    <cfRule type="expression" dxfId="897" priority="119" stopIfTrue="1">
      <formula>$AH$8="P"</formula>
    </cfRule>
  </conditionalFormatting>
  <conditionalFormatting sqref="AH8">
    <cfRule type="expression" dxfId="896" priority="120" stopIfTrue="1">
      <formula>$AH$8="B"</formula>
    </cfRule>
  </conditionalFormatting>
  <conditionalFormatting sqref="AI8">
    <cfRule type="expression" dxfId="895" priority="121" stopIfTrue="1">
      <formula>$AI$8="P"</formula>
    </cfRule>
  </conditionalFormatting>
  <conditionalFormatting sqref="AI8">
    <cfRule type="expression" dxfId="894" priority="122" stopIfTrue="1">
      <formula>$AI$8="B"</formula>
    </cfRule>
  </conditionalFormatting>
  <conditionalFormatting sqref="AJ8">
    <cfRule type="expression" dxfId="893" priority="123" stopIfTrue="1">
      <formula>$AJ$8="P"</formula>
    </cfRule>
  </conditionalFormatting>
  <conditionalFormatting sqref="AJ8">
    <cfRule type="expression" dxfId="892" priority="124" stopIfTrue="1">
      <formula>$AJ$8="B"</formula>
    </cfRule>
  </conditionalFormatting>
  <conditionalFormatting sqref="AK8">
    <cfRule type="expression" dxfId="891" priority="125" stopIfTrue="1">
      <formula>$AK$8="P"</formula>
    </cfRule>
  </conditionalFormatting>
  <conditionalFormatting sqref="AK8">
    <cfRule type="expression" dxfId="890" priority="126" stopIfTrue="1">
      <formula>$AK$8="B"</formula>
    </cfRule>
  </conditionalFormatting>
  <conditionalFormatting sqref="AL8">
    <cfRule type="expression" dxfId="889" priority="127" stopIfTrue="1">
      <formula>$AL$8="P"</formula>
    </cfRule>
  </conditionalFormatting>
  <conditionalFormatting sqref="AL8">
    <cfRule type="expression" dxfId="888" priority="128" stopIfTrue="1">
      <formula>$AL$8="B"</formula>
    </cfRule>
  </conditionalFormatting>
  <conditionalFormatting sqref="AM8">
    <cfRule type="expression" dxfId="887" priority="129" stopIfTrue="1">
      <formula>$AM$8="P"</formula>
    </cfRule>
  </conditionalFormatting>
  <conditionalFormatting sqref="AM8">
    <cfRule type="expression" dxfId="886" priority="130" stopIfTrue="1">
      <formula>$AM$8="B"</formula>
    </cfRule>
  </conditionalFormatting>
  <conditionalFormatting sqref="AN8">
    <cfRule type="expression" dxfId="885" priority="131" stopIfTrue="1">
      <formula>$AN$8="P"</formula>
    </cfRule>
  </conditionalFormatting>
  <conditionalFormatting sqref="AN8">
    <cfRule type="expression" dxfId="884" priority="132" stopIfTrue="1">
      <formula>$AN$8="B"</formula>
    </cfRule>
  </conditionalFormatting>
  <conditionalFormatting sqref="AO8">
    <cfRule type="expression" dxfId="883" priority="133" stopIfTrue="1">
      <formula>$AO$8="P"</formula>
    </cfRule>
  </conditionalFormatting>
  <conditionalFormatting sqref="AO8">
    <cfRule type="expression" dxfId="882" priority="134" stopIfTrue="1">
      <formula>$AO$8="B"</formula>
    </cfRule>
  </conditionalFormatting>
  <conditionalFormatting sqref="AP8">
    <cfRule type="expression" dxfId="881" priority="135" stopIfTrue="1">
      <formula>$AP$8="P"</formula>
    </cfRule>
  </conditionalFormatting>
  <conditionalFormatting sqref="AP8">
    <cfRule type="expression" dxfId="880" priority="136" stopIfTrue="1">
      <formula>$AP$8="B"</formula>
    </cfRule>
  </conditionalFormatting>
  <conditionalFormatting sqref="AQ8">
    <cfRule type="expression" dxfId="879" priority="137" stopIfTrue="1">
      <formula>$AQ$8="P"</formula>
    </cfRule>
  </conditionalFormatting>
  <conditionalFormatting sqref="AQ8">
    <cfRule type="expression" dxfId="878" priority="138" stopIfTrue="1">
      <formula>$AQ$8="B"</formula>
    </cfRule>
  </conditionalFormatting>
  <conditionalFormatting sqref="AH9">
    <cfRule type="expression" dxfId="877" priority="139" stopIfTrue="1">
      <formula>$AH$9="P"</formula>
    </cfRule>
  </conditionalFormatting>
  <conditionalFormatting sqref="AH9">
    <cfRule type="expression" dxfId="876" priority="140" stopIfTrue="1">
      <formula>$AH$9="B"</formula>
    </cfRule>
  </conditionalFormatting>
  <conditionalFormatting sqref="AI9">
    <cfRule type="expression" dxfId="875" priority="141" stopIfTrue="1">
      <formula>$AI$9="P"</formula>
    </cfRule>
  </conditionalFormatting>
  <conditionalFormatting sqref="AI9">
    <cfRule type="expression" dxfId="874" priority="142" stopIfTrue="1">
      <formula>$AI$9="B"</formula>
    </cfRule>
  </conditionalFormatting>
  <conditionalFormatting sqref="AJ9">
    <cfRule type="expression" dxfId="873" priority="143" stopIfTrue="1">
      <formula>$AJ$9="P"</formula>
    </cfRule>
  </conditionalFormatting>
  <conditionalFormatting sqref="AJ9">
    <cfRule type="expression" dxfId="872" priority="144" stopIfTrue="1">
      <formula>$AJ$9="B"</formula>
    </cfRule>
  </conditionalFormatting>
  <conditionalFormatting sqref="AK9">
    <cfRule type="expression" dxfId="871" priority="145" stopIfTrue="1">
      <formula>$AK$9="P"</formula>
    </cfRule>
  </conditionalFormatting>
  <conditionalFormatting sqref="AK9">
    <cfRule type="expression" dxfId="870" priority="146" stopIfTrue="1">
      <formula>$AK$9="B"</formula>
    </cfRule>
  </conditionalFormatting>
  <conditionalFormatting sqref="AL9">
    <cfRule type="expression" dxfId="869" priority="147" stopIfTrue="1">
      <formula>$AL$9="P"</formula>
    </cfRule>
  </conditionalFormatting>
  <conditionalFormatting sqref="AL9">
    <cfRule type="expression" dxfId="868" priority="148" stopIfTrue="1">
      <formula>$AL$9="B"</formula>
    </cfRule>
  </conditionalFormatting>
  <conditionalFormatting sqref="AM9">
    <cfRule type="expression" dxfId="867" priority="149" stopIfTrue="1">
      <formula>$AM$9="P"</formula>
    </cfRule>
  </conditionalFormatting>
  <conditionalFormatting sqref="AM9">
    <cfRule type="expression" dxfId="866" priority="150" stopIfTrue="1">
      <formula>$AM$9="B"</formula>
    </cfRule>
  </conditionalFormatting>
  <conditionalFormatting sqref="AN9">
    <cfRule type="expression" dxfId="865" priority="151" stopIfTrue="1">
      <formula>$AN$9="P"</formula>
    </cfRule>
  </conditionalFormatting>
  <conditionalFormatting sqref="AN9">
    <cfRule type="expression" dxfId="864" priority="152" stopIfTrue="1">
      <formula>$AN$9="B"</formula>
    </cfRule>
  </conditionalFormatting>
  <conditionalFormatting sqref="AO9">
    <cfRule type="expression" dxfId="863" priority="153" stopIfTrue="1">
      <formula>$AO$9="P"</formula>
    </cfRule>
  </conditionalFormatting>
  <conditionalFormatting sqref="AO9">
    <cfRule type="expression" dxfId="862" priority="154" stopIfTrue="1">
      <formula>$AO$9="B"</formula>
    </cfRule>
  </conditionalFormatting>
  <conditionalFormatting sqref="AP9">
    <cfRule type="expression" dxfId="861" priority="155" stopIfTrue="1">
      <formula>$AP$9="P"</formula>
    </cfRule>
  </conditionalFormatting>
  <conditionalFormatting sqref="AP9">
    <cfRule type="expression" dxfId="860" priority="156" stopIfTrue="1">
      <formula>$AP$9="B"</formula>
    </cfRule>
  </conditionalFormatting>
  <conditionalFormatting sqref="AQ9">
    <cfRule type="expression" dxfId="859" priority="157" stopIfTrue="1">
      <formula>$AQ$9="P"</formula>
    </cfRule>
  </conditionalFormatting>
  <conditionalFormatting sqref="AQ9">
    <cfRule type="expression" dxfId="858" priority="158" stopIfTrue="1">
      <formula>$AQ$9="B"</formula>
    </cfRule>
  </conditionalFormatting>
  <conditionalFormatting sqref="AR9">
    <cfRule type="expression" dxfId="857" priority="159" stopIfTrue="1">
      <formula>$AR$9="P"</formula>
    </cfRule>
  </conditionalFormatting>
  <conditionalFormatting sqref="AR9">
    <cfRule type="expression" dxfId="856" priority="160" stopIfTrue="1">
      <formula>$AR$9="B"</formula>
    </cfRule>
  </conditionalFormatting>
  <conditionalFormatting sqref="AS9">
    <cfRule type="expression" dxfId="855" priority="161" stopIfTrue="1">
      <formula>$AS$9="P"</formula>
    </cfRule>
  </conditionalFormatting>
  <conditionalFormatting sqref="AS9">
    <cfRule type="expression" dxfId="854" priority="162" stopIfTrue="1">
      <formula>$AS$9="B"</formula>
    </cfRule>
  </conditionalFormatting>
  <conditionalFormatting sqref="AT9">
    <cfRule type="expression" dxfId="853" priority="163" stopIfTrue="1">
      <formula>$AT$9="P"</formula>
    </cfRule>
  </conditionalFormatting>
  <conditionalFormatting sqref="AT9">
    <cfRule type="expression" dxfId="852" priority="164" stopIfTrue="1">
      <formula>$AT$9="B"</formula>
    </cfRule>
  </conditionalFormatting>
  <conditionalFormatting sqref="AU9">
    <cfRule type="expression" dxfId="851" priority="165" stopIfTrue="1">
      <formula>$AU$9="P"</formula>
    </cfRule>
  </conditionalFormatting>
  <conditionalFormatting sqref="AU9">
    <cfRule type="expression" dxfId="850" priority="166" stopIfTrue="1">
      <formula>$AU$9="B"</formula>
    </cfRule>
  </conditionalFormatting>
  <conditionalFormatting sqref="AV9">
    <cfRule type="expression" dxfId="849" priority="167" stopIfTrue="1">
      <formula>$AV$9="P"</formula>
    </cfRule>
  </conditionalFormatting>
  <conditionalFormatting sqref="AV9">
    <cfRule type="expression" dxfId="848" priority="168" stopIfTrue="1">
      <formula>$AV$9="B"</formula>
    </cfRule>
  </conditionalFormatting>
  <conditionalFormatting sqref="AW9">
    <cfRule type="expression" dxfId="847" priority="169" stopIfTrue="1">
      <formula>$AW$9="P"</formula>
    </cfRule>
  </conditionalFormatting>
  <conditionalFormatting sqref="AW9">
    <cfRule type="expression" dxfId="846" priority="170" stopIfTrue="1">
      <formula>$AW$9="B"</formula>
    </cfRule>
  </conditionalFormatting>
  <conditionalFormatting sqref="AX9">
    <cfRule type="expression" dxfId="845" priority="171" stopIfTrue="1">
      <formula>$AX$9="P"</formula>
    </cfRule>
  </conditionalFormatting>
  <conditionalFormatting sqref="AX9">
    <cfRule type="expression" dxfId="844" priority="172" stopIfTrue="1">
      <formula>$AX$9="B"</formula>
    </cfRule>
  </conditionalFormatting>
  <conditionalFormatting sqref="AY9">
    <cfRule type="expression" dxfId="843" priority="173" stopIfTrue="1">
      <formula>$AY$9="P"</formula>
    </cfRule>
  </conditionalFormatting>
  <conditionalFormatting sqref="AY9">
    <cfRule type="expression" dxfId="842" priority="174" stopIfTrue="1">
      <formula>$AY$9="B"</formula>
    </cfRule>
  </conditionalFormatting>
  <conditionalFormatting sqref="AZ9">
    <cfRule type="expression" dxfId="841" priority="175" stopIfTrue="1">
      <formula>$AZ$9="P"</formula>
    </cfRule>
  </conditionalFormatting>
  <conditionalFormatting sqref="AZ9">
    <cfRule type="expression" dxfId="840" priority="176" stopIfTrue="1">
      <formula>$AZ$9="B"</formula>
    </cfRule>
  </conditionalFormatting>
  <conditionalFormatting sqref="BA9">
    <cfRule type="expression" dxfId="839" priority="177" stopIfTrue="1">
      <formula>$BA$9="P"</formula>
    </cfRule>
  </conditionalFormatting>
  <conditionalFormatting sqref="BA9">
    <cfRule type="expression" dxfId="838" priority="178" stopIfTrue="1">
      <formula>$BA$9="B"</formula>
    </cfRule>
  </conditionalFormatting>
  <conditionalFormatting sqref="AR10">
    <cfRule type="expression" dxfId="837" priority="179" stopIfTrue="1">
      <formula>$AR$10="P"</formula>
    </cfRule>
  </conditionalFormatting>
  <conditionalFormatting sqref="AR10">
    <cfRule type="expression" dxfId="836" priority="180" stopIfTrue="1">
      <formula>$AR$10="B"</formula>
    </cfRule>
  </conditionalFormatting>
  <conditionalFormatting sqref="AS10">
    <cfRule type="expression" dxfId="835" priority="181" stopIfTrue="1">
      <formula>$AS$10="P"</formula>
    </cfRule>
  </conditionalFormatting>
  <conditionalFormatting sqref="AS10">
    <cfRule type="expression" dxfId="834" priority="182" stopIfTrue="1">
      <formula>$AS$10="B"</formula>
    </cfRule>
  </conditionalFormatting>
  <conditionalFormatting sqref="AT10">
    <cfRule type="expression" dxfId="833" priority="183" stopIfTrue="1">
      <formula>$AT$10="P"</formula>
    </cfRule>
  </conditionalFormatting>
  <conditionalFormatting sqref="AT10">
    <cfRule type="expression" dxfId="832" priority="184" stopIfTrue="1">
      <formula>$AT$10="B"</formula>
    </cfRule>
  </conditionalFormatting>
  <conditionalFormatting sqref="AU10">
    <cfRule type="expression" dxfId="831" priority="185" stopIfTrue="1">
      <formula>$AU$10="P"</formula>
    </cfRule>
  </conditionalFormatting>
  <conditionalFormatting sqref="AU10">
    <cfRule type="expression" dxfId="830" priority="186" stopIfTrue="1">
      <formula>$AU$10="B"</formula>
    </cfRule>
  </conditionalFormatting>
  <conditionalFormatting sqref="AV10">
    <cfRule type="expression" dxfId="829" priority="187" stopIfTrue="1">
      <formula>$AV$10="P"</formula>
    </cfRule>
  </conditionalFormatting>
  <conditionalFormatting sqref="AV10">
    <cfRule type="expression" dxfId="828" priority="188" stopIfTrue="1">
      <formula>$AV$10="B"</formula>
    </cfRule>
  </conditionalFormatting>
  <conditionalFormatting sqref="AW10">
    <cfRule type="expression" dxfId="827" priority="189" stopIfTrue="1">
      <formula>$AW$10="P"</formula>
    </cfRule>
  </conditionalFormatting>
  <conditionalFormatting sqref="AW10">
    <cfRule type="expression" dxfId="826" priority="190" stopIfTrue="1">
      <formula>$AW$10="B"</formula>
    </cfRule>
  </conditionalFormatting>
  <conditionalFormatting sqref="AX10">
    <cfRule type="expression" dxfId="825" priority="191" stopIfTrue="1">
      <formula>$AX$10="P"</formula>
    </cfRule>
  </conditionalFormatting>
  <conditionalFormatting sqref="AX10">
    <cfRule type="expression" dxfId="824" priority="192" stopIfTrue="1">
      <formula>$AX$10="B"</formula>
    </cfRule>
  </conditionalFormatting>
  <conditionalFormatting sqref="AY10">
    <cfRule type="expression" dxfId="823" priority="193" stopIfTrue="1">
      <formula>$AY$10="P"</formula>
    </cfRule>
  </conditionalFormatting>
  <conditionalFormatting sqref="AY10">
    <cfRule type="expression" dxfId="822" priority="194" stopIfTrue="1">
      <formula>$AY$10="B"</formula>
    </cfRule>
  </conditionalFormatting>
  <conditionalFormatting sqref="AZ10">
    <cfRule type="expression" dxfId="821" priority="195" stopIfTrue="1">
      <formula>$AZ$10="P"</formula>
    </cfRule>
  </conditionalFormatting>
  <conditionalFormatting sqref="AZ10">
    <cfRule type="expression" dxfId="820" priority="196" stopIfTrue="1">
      <formula>$AZ$10="B"</formula>
    </cfRule>
  </conditionalFormatting>
  <conditionalFormatting sqref="BA10">
    <cfRule type="expression" dxfId="819" priority="197" stopIfTrue="1">
      <formula>$BA$10="P"</formula>
    </cfRule>
  </conditionalFormatting>
  <conditionalFormatting sqref="BA10">
    <cfRule type="expression" dxfId="818" priority="198" stopIfTrue="1">
      <formula>$BA$10="B"</formula>
    </cfRule>
  </conditionalFormatting>
  <conditionalFormatting sqref="BB10">
    <cfRule type="expression" dxfId="817" priority="199" stopIfTrue="1">
      <formula>$BB$10="P"</formula>
    </cfRule>
  </conditionalFormatting>
  <conditionalFormatting sqref="BB10">
    <cfRule type="expression" dxfId="816" priority="200" stopIfTrue="1">
      <formula>$BB$10="B"</formula>
    </cfRule>
  </conditionalFormatting>
  <conditionalFormatting sqref="BC10">
    <cfRule type="expression" dxfId="815" priority="201" stopIfTrue="1">
      <formula>$BC$10="P"</formula>
    </cfRule>
  </conditionalFormatting>
  <conditionalFormatting sqref="BC10">
    <cfRule type="expression" dxfId="814" priority="202" stopIfTrue="1">
      <formula>$BC$10="B"</formula>
    </cfRule>
  </conditionalFormatting>
  <conditionalFormatting sqref="BD10">
    <cfRule type="expression" dxfId="813" priority="203" stopIfTrue="1">
      <formula>$BD$10="P"</formula>
    </cfRule>
  </conditionalFormatting>
  <conditionalFormatting sqref="BD10">
    <cfRule type="expression" dxfId="812" priority="204" stopIfTrue="1">
      <formula>$BD$10="B"</formula>
    </cfRule>
  </conditionalFormatting>
  <conditionalFormatting sqref="BE10">
    <cfRule type="expression" dxfId="811" priority="205" stopIfTrue="1">
      <formula>$BE$10="P"</formula>
    </cfRule>
  </conditionalFormatting>
  <conditionalFormatting sqref="BE10">
    <cfRule type="expression" dxfId="810" priority="206" stopIfTrue="1">
      <formula>$BE$10="B"</formula>
    </cfRule>
  </conditionalFormatting>
  <conditionalFormatting sqref="BF10">
    <cfRule type="expression" dxfId="809" priority="207" stopIfTrue="1">
      <formula>$BF$10="P"</formula>
    </cfRule>
  </conditionalFormatting>
  <conditionalFormatting sqref="BF10">
    <cfRule type="expression" dxfId="808" priority="208" stopIfTrue="1">
      <formula>$BF$10="B"</formula>
    </cfRule>
  </conditionalFormatting>
  <conditionalFormatting sqref="BG10">
    <cfRule type="expression" dxfId="807" priority="209" stopIfTrue="1">
      <formula>$BG$10="P"</formula>
    </cfRule>
  </conditionalFormatting>
  <conditionalFormatting sqref="BG10">
    <cfRule type="expression" dxfId="806" priority="210" stopIfTrue="1">
      <formula>$BG$10="B"</formula>
    </cfRule>
  </conditionalFormatting>
  <conditionalFormatting sqref="BH10">
    <cfRule type="expression" dxfId="805" priority="211" stopIfTrue="1">
      <formula>$BH$10="P"</formula>
    </cfRule>
  </conditionalFormatting>
  <conditionalFormatting sqref="BH10">
    <cfRule type="expression" dxfId="804" priority="212" stopIfTrue="1">
      <formula>$BH$10="B"</formula>
    </cfRule>
  </conditionalFormatting>
  <conditionalFormatting sqref="BI10">
    <cfRule type="expression" dxfId="803" priority="213" stopIfTrue="1">
      <formula>$BI$10="P"</formula>
    </cfRule>
  </conditionalFormatting>
  <conditionalFormatting sqref="BI10">
    <cfRule type="expression" dxfId="802" priority="214" stopIfTrue="1">
      <formula>$BI$10="B"</formula>
    </cfRule>
  </conditionalFormatting>
  <conditionalFormatting sqref="BJ10">
    <cfRule type="expression" dxfId="801" priority="215" stopIfTrue="1">
      <formula>$BJ$10="P"</formula>
    </cfRule>
  </conditionalFormatting>
  <conditionalFormatting sqref="BJ10">
    <cfRule type="expression" dxfId="800" priority="216" stopIfTrue="1">
      <formula>$BJ$10="B"</formula>
    </cfRule>
  </conditionalFormatting>
  <conditionalFormatting sqref="BK10">
    <cfRule type="expression" dxfId="799" priority="217" stopIfTrue="1">
      <formula>$BK$10="P"</formula>
    </cfRule>
  </conditionalFormatting>
  <conditionalFormatting sqref="BK10">
    <cfRule type="expression" dxfId="798" priority="218" stopIfTrue="1">
      <formula>$BK$10="B"</formula>
    </cfRule>
  </conditionalFormatting>
  <conditionalFormatting sqref="BB11">
    <cfRule type="expression" dxfId="797" priority="219" stopIfTrue="1">
      <formula>$BB$11="P"</formula>
    </cfRule>
  </conditionalFormatting>
  <conditionalFormatting sqref="BB11">
    <cfRule type="expression" dxfId="796" priority="220" stopIfTrue="1">
      <formula>$BB$11="B"</formula>
    </cfRule>
  </conditionalFormatting>
  <conditionalFormatting sqref="BC11">
    <cfRule type="expression" dxfId="795" priority="221" stopIfTrue="1">
      <formula>$BC$11="P"</formula>
    </cfRule>
  </conditionalFormatting>
  <conditionalFormatting sqref="BC11">
    <cfRule type="expression" dxfId="794" priority="222" stopIfTrue="1">
      <formula>$BC$11="B"</formula>
    </cfRule>
  </conditionalFormatting>
  <conditionalFormatting sqref="BD11">
    <cfRule type="expression" dxfId="793" priority="223" stopIfTrue="1">
      <formula>$BD$11="P"</formula>
    </cfRule>
  </conditionalFormatting>
  <conditionalFormatting sqref="BD11">
    <cfRule type="expression" dxfId="792" priority="224" stopIfTrue="1">
      <formula>$BD$11="B"</formula>
    </cfRule>
  </conditionalFormatting>
  <conditionalFormatting sqref="BE11">
    <cfRule type="expression" dxfId="791" priority="225" stopIfTrue="1">
      <formula>$BE$11="P"</formula>
    </cfRule>
  </conditionalFormatting>
  <conditionalFormatting sqref="BE11">
    <cfRule type="expression" dxfId="790" priority="226" stopIfTrue="1">
      <formula>$BE$11="B"</formula>
    </cfRule>
  </conditionalFormatting>
  <conditionalFormatting sqref="BF11">
    <cfRule type="expression" dxfId="789" priority="227" stopIfTrue="1">
      <formula>$BF$11="P"</formula>
    </cfRule>
  </conditionalFormatting>
  <conditionalFormatting sqref="BF11">
    <cfRule type="expression" dxfId="788" priority="228" stopIfTrue="1">
      <formula>$BF$11="B"</formula>
    </cfRule>
  </conditionalFormatting>
  <conditionalFormatting sqref="BG11">
    <cfRule type="expression" dxfId="787" priority="229" stopIfTrue="1">
      <formula>$BG$11="P"</formula>
    </cfRule>
  </conditionalFormatting>
  <conditionalFormatting sqref="BG11">
    <cfRule type="expression" dxfId="786" priority="230" stopIfTrue="1">
      <formula>$BG$11="B"</formula>
    </cfRule>
  </conditionalFormatting>
  <conditionalFormatting sqref="BH11">
    <cfRule type="expression" dxfId="785" priority="231" stopIfTrue="1">
      <formula>$BH$11="P"</formula>
    </cfRule>
  </conditionalFormatting>
  <conditionalFormatting sqref="BH11">
    <cfRule type="expression" dxfId="784" priority="232" stopIfTrue="1">
      <formula>$BH$11="B"</formula>
    </cfRule>
  </conditionalFormatting>
  <conditionalFormatting sqref="BI11">
    <cfRule type="expression" dxfId="783" priority="233" stopIfTrue="1">
      <formula>$BI$11="P"</formula>
    </cfRule>
  </conditionalFormatting>
  <conditionalFormatting sqref="BI11">
    <cfRule type="expression" dxfId="782" priority="234" stopIfTrue="1">
      <formula>$BI$11="B"</formula>
    </cfRule>
  </conditionalFormatting>
  <conditionalFormatting sqref="BJ11">
    <cfRule type="expression" dxfId="781" priority="235" stopIfTrue="1">
      <formula>$BJ$11="P"</formula>
    </cfRule>
  </conditionalFormatting>
  <conditionalFormatting sqref="BJ11">
    <cfRule type="expression" dxfId="780" priority="236" stopIfTrue="1">
      <formula>$BJ$11="B"</formula>
    </cfRule>
  </conditionalFormatting>
  <conditionalFormatting sqref="BK11">
    <cfRule type="expression" dxfId="779" priority="237" stopIfTrue="1">
      <formula>$BK$11="P"</formula>
    </cfRule>
  </conditionalFormatting>
  <conditionalFormatting sqref="BK11">
    <cfRule type="expression" dxfId="778" priority="238" stopIfTrue="1">
      <formula>$BK$11="B"</formula>
    </cfRule>
  </conditionalFormatting>
  <conditionalFormatting sqref="D11">
    <cfRule type="expression" dxfId="777" priority="239" stopIfTrue="1">
      <formula>$D$11="P"</formula>
    </cfRule>
    <cfRule type="expression" dxfId="776" priority="240" stopIfTrue="1">
      <formula>$D$11="B"</formula>
    </cfRule>
  </conditionalFormatting>
  <conditionalFormatting sqref="E11">
    <cfRule type="expression" dxfId="775" priority="241" stopIfTrue="1">
      <formula>$E$11="P"</formula>
    </cfRule>
    <cfRule type="expression" dxfId="774" priority="242" stopIfTrue="1">
      <formula>$E$11="B"</formula>
    </cfRule>
  </conditionalFormatting>
  <conditionalFormatting sqref="F11">
    <cfRule type="expression" dxfId="773" priority="243" stopIfTrue="1">
      <formula>$F$11="P"</formula>
    </cfRule>
    <cfRule type="expression" dxfId="772" priority="244" stopIfTrue="1">
      <formula>$F$11="B"</formula>
    </cfRule>
  </conditionalFormatting>
  <conditionalFormatting sqref="G11">
    <cfRule type="expression" dxfId="771" priority="245" stopIfTrue="1">
      <formula>$G$11="P"</formula>
    </cfRule>
    <cfRule type="expression" dxfId="770" priority="246" stopIfTrue="1">
      <formula>$G$11="B"</formula>
    </cfRule>
  </conditionalFormatting>
  <conditionalFormatting sqref="H11">
    <cfRule type="expression" dxfId="769" priority="247" stopIfTrue="1">
      <formula>$H$11="P"</formula>
    </cfRule>
    <cfRule type="expression" dxfId="768" priority="248" stopIfTrue="1">
      <formula>$H$11="B"</formula>
    </cfRule>
  </conditionalFormatting>
  <conditionalFormatting sqref="I11">
    <cfRule type="expression" dxfId="767" priority="249" stopIfTrue="1">
      <formula>$I$11="P"</formula>
    </cfRule>
    <cfRule type="expression" dxfId="766" priority="250" stopIfTrue="1">
      <formula>$I$11="B"</formula>
    </cfRule>
  </conditionalFormatting>
  <conditionalFormatting sqref="J11">
    <cfRule type="expression" dxfId="765" priority="251" stopIfTrue="1">
      <formula>$J$11="P"</formula>
    </cfRule>
    <cfRule type="expression" dxfId="764" priority="252" stopIfTrue="1">
      <formula>$J$11="B"</formula>
    </cfRule>
  </conditionalFormatting>
  <conditionalFormatting sqref="K11">
    <cfRule type="expression" dxfId="763" priority="253" stopIfTrue="1">
      <formula>$K$11="P"</formula>
    </cfRule>
    <cfRule type="expression" dxfId="762" priority="254" stopIfTrue="1">
      <formula>$K$11="B"</formula>
    </cfRule>
  </conditionalFormatting>
  <conditionalFormatting sqref="L11">
    <cfRule type="expression" dxfId="761" priority="255" stopIfTrue="1">
      <formula>$L$11="P"</formula>
    </cfRule>
    <cfRule type="expression" dxfId="760" priority="256" stopIfTrue="1">
      <formula>$L$11="B"</formula>
    </cfRule>
  </conditionalFormatting>
  <conditionalFormatting sqref="M11">
    <cfRule type="expression" dxfId="759" priority="257" stopIfTrue="1">
      <formula>$M$11="P"</formula>
    </cfRule>
    <cfRule type="expression" dxfId="758" priority="258" stopIfTrue="1">
      <formula>$M$11="B"</formula>
    </cfRule>
  </conditionalFormatting>
  <conditionalFormatting sqref="D12:BK12">
    <cfRule type="iconSet" priority="4">
      <iconSet iconSet="3Symbols2" showValue="0">
        <cfvo type="percent" val="0"/>
        <cfvo type="percent" val="33"/>
        <cfvo type="num" val="0" gte="0"/>
      </iconSet>
    </cfRule>
  </conditionalFormatting>
  <conditionalFormatting sqref="B31">
    <cfRule type="expression" dxfId="757" priority="261" stopIfTrue="1">
      <formula>$C$31="running"</formula>
    </cfRule>
  </conditionalFormatting>
  <conditionalFormatting sqref="B31">
    <cfRule type="expression" dxfId="756" priority="262" stopIfTrue="1">
      <formula>$C$31="failing"</formula>
    </cfRule>
  </conditionalFormatting>
  <conditionalFormatting sqref="B32">
    <cfRule type="expression" dxfId="755" priority="263" stopIfTrue="1">
      <formula>$C$32="running"</formula>
    </cfRule>
  </conditionalFormatting>
  <conditionalFormatting sqref="B32">
    <cfRule type="expression" dxfId="754" priority="264" stopIfTrue="1">
      <formula>$C$32="failing"</formula>
    </cfRule>
  </conditionalFormatting>
  <conditionalFormatting sqref="B33">
    <cfRule type="expression" dxfId="753" priority="265" stopIfTrue="1">
      <formula>$C$33="running"</formula>
    </cfRule>
  </conditionalFormatting>
  <conditionalFormatting sqref="B33">
    <cfRule type="expression" dxfId="752" priority="266" stopIfTrue="1">
      <formula>$C$33="failing"</formula>
    </cfRule>
  </conditionalFormatting>
  <conditionalFormatting sqref="B34">
    <cfRule type="expression" dxfId="751" priority="267" stopIfTrue="1">
      <formula>$C$34="running"</formula>
    </cfRule>
  </conditionalFormatting>
  <conditionalFormatting sqref="B34">
    <cfRule type="expression" dxfId="750" priority="268" stopIfTrue="1">
      <formula>$C$34="failing"</formula>
    </cfRule>
  </conditionalFormatting>
  <conditionalFormatting sqref="B35">
    <cfRule type="expression" dxfId="749" priority="269" stopIfTrue="1">
      <formula>$C$35="running"</formula>
    </cfRule>
  </conditionalFormatting>
  <conditionalFormatting sqref="B35">
    <cfRule type="expression" dxfId="748" priority="270" stopIfTrue="1">
      <formula>$C$35="failing"</formula>
    </cfRule>
  </conditionalFormatting>
  <conditionalFormatting sqref="B36">
    <cfRule type="expression" dxfId="747" priority="271" stopIfTrue="1">
      <formula>$C$36="running"</formula>
    </cfRule>
  </conditionalFormatting>
  <conditionalFormatting sqref="B36">
    <cfRule type="expression" dxfId="746" priority="272" stopIfTrue="1">
      <formula>$C$36="failing"</formula>
    </cfRule>
  </conditionalFormatting>
  <conditionalFormatting sqref="D31">
    <cfRule type="expression" dxfId="745" priority="273" stopIfTrue="1">
      <formula>$D$31="P"</formula>
    </cfRule>
  </conditionalFormatting>
  <conditionalFormatting sqref="D31">
    <cfRule type="expression" dxfId="744" priority="274" stopIfTrue="1">
      <formula>$D$31="B"</formula>
    </cfRule>
  </conditionalFormatting>
  <conditionalFormatting sqref="E31">
    <cfRule type="expression" dxfId="743" priority="275" stopIfTrue="1">
      <formula>$E$31="P"</formula>
    </cfRule>
  </conditionalFormatting>
  <conditionalFormatting sqref="E31">
    <cfRule type="expression" dxfId="742" priority="276" stopIfTrue="1">
      <formula>$E$31="B"</formula>
    </cfRule>
  </conditionalFormatting>
  <conditionalFormatting sqref="F31">
    <cfRule type="expression" dxfId="741" priority="277" stopIfTrue="1">
      <formula>$F$31="P"</formula>
    </cfRule>
  </conditionalFormatting>
  <conditionalFormatting sqref="F31">
    <cfRule type="expression" dxfId="740" priority="278" stopIfTrue="1">
      <formula>$F$31="B"</formula>
    </cfRule>
  </conditionalFormatting>
  <conditionalFormatting sqref="G31">
    <cfRule type="expression" dxfId="739" priority="279" stopIfTrue="1">
      <formula>$G$31="P"</formula>
    </cfRule>
  </conditionalFormatting>
  <conditionalFormatting sqref="G31">
    <cfRule type="expression" dxfId="738" priority="280" stopIfTrue="1">
      <formula>$G$31="B"</formula>
    </cfRule>
  </conditionalFormatting>
  <conditionalFormatting sqref="H31">
    <cfRule type="expression" dxfId="737" priority="281" stopIfTrue="1">
      <formula>$H$31="P"</formula>
    </cfRule>
  </conditionalFormatting>
  <conditionalFormatting sqref="H31">
    <cfRule type="expression" dxfId="736" priority="282" stopIfTrue="1">
      <formula>$H$31="B"</formula>
    </cfRule>
  </conditionalFormatting>
  <conditionalFormatting sqref="I31">
    <cfRule type="expression" dxfId="735" priority="283" stopIfTrue="1">
      <formula>$I$31="P"</formula>
    </cfRule>
  </conditionalFormatting>
  <conditionalFormatting sqref="I31">
    <cfRule type="expression" dxfId="734" priority="284" stopIfTrue="1">
      <formula>$I$31="B"</formula>
    </cfRule>
  </conditionalFormatting>
  <conditionalFormatting sqref="J31">
    <cfRule type="expression" dxfId="733" priority="285" stopIfTrue="1">
      <formula>$J$31="P"</formula>
    </cfRule>
  </conditionalFormatting>
  <conditionalFormatting sqref="J31">
    <cfRule type="expression" dxfId="732" priority="286" stopIfTrue="1">
      <formula>$J$31="B"</formula>
    </cfRule>
  </conditionalFormatting>
  <conditionalFormatting sqref="K31">
    <cfRule type="expression" dxfId="731" priority="287" stopIfTrue="1">
      <formula>$K$31="P"</formula>
    </cfRule>
  </conditionalFormatting>
  <conditionalFormatting sqref="K31">
    <cfRule type="expression" dxfId="730" priority="288" stopIfTrue="1">
      <formula>$K$31="B"</formula>
    </cfRule>
  </conditionalFormatting>
  <conditionalFormatting sqref="L31">
    <cfRule type="expression" dxfId="729" priority="289" stopIfTrue="1">
      <formula>$L$31="P"</formula>
    </cfRule>
  </conditionalFormatting>
  <conditionalFormatting sqref="L31">
    <cfRule type="expression" dxfId="728" priority="290" stopIfTrue="1">
      <formula>$L$31="B"</formula>
    </cfRule>
  </conditionalFormatting>
  <conditionalFormatting sqref="M31">
    <cfRule type="expression" dxfId="727" priority="291" stopIfTrue="1">
      <formula>$M$31="P"</formula>
    </cfRule>
  </conditionalFormatting>
  <conditionalFormatting sqref="M31">
    <cfRule type="expression" dxfId="726" priority="292" stopIfTrue="1">
      <formula>$M$31="B"</formula>
    </cfRule>
  </conditionalFormatting>
  <conditionalFormatting sqref="N31">
    <cfRule type="expression" dxfId="725" priority="293" stopIfTrue="1">
      <formula>$N$31="P"</formula>
    </cfRule>
  </conditionalFormatting>
  <conditionalFormatting sqref="N31">
    <cfRule type="expression" dxfId="724" priority="294" stopIfTrue="1">
      <formula>$N$31="B"</formula>
    </cfRule>
  </conditionalFormatting>
  <conditionalFormatting sqref="O31">
    <cfRule type="expression" dxfId="723" priority="295" stopIfTrue="1">
      <formula>$O$31="P"</formula>
    </cfRule>
  </conditionalFormatting>
  <conditionalFormatting sqref="O31">
    <cfRule type="expression" dxfId="722" priority="296" stopIfTrue="1">
      <formula>$O$31="B"</formula>
    </cfRule>
  </conditionalFormatting>
  <conditionalFormatting sqref="P31">
    <cfRule type="expression" dxfId="721" priority="297" stopIfTrue="1">
      <formula>$P$31="P"</formula>
    </cfRule>
  </conditionalFormatting>
  <conditionalFormatting sqref="P31">
    <cfRule type="expression" dxfId="720" priority="298" stopIfTrue="1">
      <formula>$P$31="B"</formula>
    </cfRule>
  </conditionalFormatting>
  <conditionalFormatting sqref="Q31">
    <cfRule type="expression" dxfId="719" priority="299" stopIfTrue="1">
      <formula>$Q$31="P"</formula>
    </cfRule>
  </conditionalFormatting>
  <conditionalFormatting sqref="Q31">
    <cfRule type="expression" dxfId="718" priority="300" stopIfTrue="1">
      <formula>$Q$31="B"</formula>
    </cfRule>
  </conditionalFormatting>
  <conditionalFormatting sqref="R31">
    <cfRule type="expression" dxfId="717" priority="301" stopIfTrue="1">
      <formula>$R$31="P"</formula>
    </cfRule>
  </conditionalFormatting>
  <conditionalFormatting sqref="R31">
    <cfRule type="expression" dxfId="716" priority="302" stopIfTrue="1">
      <formula>$R$31="B"</formula>
    </cfRule>
  </conditionalFormatting>
  <conditionalFormatting sqref="S31">
    <cfRule type="expression" dxfId="715" priority="303" stopIfTrue="1">
      <formula>$S$31="P"</formula>
    </cfRule>
  </conditionalFormatting>
  <conditionalFormatting sqref="S31">
    <cfRule type="expression" dxfId="714" priority="304" stopIfTrue="1">
      <formula>$S$31="B"</formula>
    </cfRule>
  </conditionalFormatting>
  <conditionalFormatting sqref="T31">
    <cfRule type="expression" dxfId="713" priority="305" stopIfTrue="1">
      <formula>$T$31="P"</formula>
    </cfRule>
  </conditionalFormatting>
  <conditionalFormatting sqref="T31">
    <cfRule type="expression" dxfId="712" priority="306" stopIfTrue="1">
      <formula>$T$31="B"</formula>
    </cfRule>
  </conditionalFormatting>
  <conditionalFormatting sqref="U31">
    <cfRule type="expression" dxfId="711" priority="307" stopIfTrue="1">
      <formula>$U$31="P"</formula>
    </cfRule>
  </conditionalFormatting>
  <conditionalFormatting sqref="U31">
    <cfRule type="expression" dxfId="710" priority="308" stopIfTrue="1">
      <formula>$U$31="B"</formula>
    </cfRule>
  </conditionalFormatting>
  <conditionalFormatting sqref="V31">
    <cfRule type="expression" dxfId="709" priority="309" stopIfTrue="1">
      <formula>$V$31="P"</formula>
    </cfRule>
  </conditionalFormatting>
  <conditionalFormatting sqref="V31">
    <cfRule type="expression" dxfId="708" priority="310" stopIfTrue="1">
      <formula>$V$31="B"</formula>
    </cfRule>
  </conditionalFormatting>
  <conditionalFormatting sqref="W31">
    <cfRule type="expression" dxfId="707" priority="311" stopIfTrue="1">
      <formula>$W$31="P"</formula>
    </cfRule>
  </conditionalFormatting>
  <conditionalFormatting sqref="W31">
    <cfRule type="expression" dxfId="706" priority="312" stopIfTrue="1">
      <formula>$W$31="B"</formula>
    </cfRule>
  </conditionalFormatting>
  <conditionalFormatting sqref="N32">
    <cfRule type="expression" dxfId="705" priority="313" stopIfTrue="1">
      <formula>$N$32="P"</formula>
    </cfRule>
  </conditionalFormatting>
  <conditionalFormatting sqref="N32">
    <cfRule type="expression" dxfId="704" priority="314" stopIfTrue="1">
      <formula>$N$32="B"</formula>
    </cfRule>
  </conditionalFormatting>
  <conditionalFormatting sqref="O32">
    <cfRule type="expression" dxfId="703" priority="315" stopIfTrue="1">
      <formula>$O$32="P"</formula>
    </cfRule>
  </conditionalFormatting>
  <conditionalFormatting sqref="O32">
    <cfRule type="expression" dxfId="702" priority="316" stopIfTrue="1">
      <formula>$O$32="B"</formula>
    </cfRule>
  </conditionalFormatting>
  <conditionalFormatting sqref="P32">
    <cfRule type="expression" dxfId="701" priority="317" stopIfTrue="1">
      <formula>$P$32="P"</formula>
    </cfRule>
  </conditionalFormatting>
  <conditionalFormatting sqref="P32">
    <cfRule type="expression" dxfId="700" priority="318" stopIfTrue="1">
      <formula>$P$32="B"</formula>
    </cfRule>
  </conditionalFormatting>
  <conditionalFormatting sqref="Q32">
    <cfRule type="expression" dxfId="699" priority="319" stopIfTrue="1">
      <formula>$Q$32="P"</formula>
    </cfRule>
  </conditionalFormatting>
  <conditionalFormatting sqref="Q32">
    <cfRule type="expression" dxfId="698" priority="320" stopIfTrue="1">
      <formula>$Q$32="B"</formula>
    </cfRule>
  </conditionalFormatting>
  <conditionalFormatting sqref="R32">
    <cfRule type="expression" dxfId="697" priority="321" stopIfTrue="1">
      <formula>$R$32="P"</formula>
    </cfRule>
  </conditionalFormatting>
  <conditionalFormatting sqref="R32">
    <cfRule type="expression" dxfId="696" priority="322" stopIfTrue="1">
      <formula>$R$32="B"</formula>
    </cfRule>
  </conditionalFormatting>
  <conditionalFormatting sqref="S32">
    <cfRule type="expression" dxfId="695" priority="323" stopIfTrue="1">
      <formula>$S$32="P"</formula>
    </cfRule>
  </conditionalFormatting>
  <conditionalFormatting sqref="S32">
    <cfRule type="expression" dxfId="694" priority="324" stopIfTrue="1">
      <formula>$S$32="B"</formula>
    </cfRule>
  </conditionalFormatting>
  <conditionalFormatting sqref="T32">
    <cfRule type="expression" dxfId="693" priority="325" stopIfTrue="1">
      <formula>$T$32="P"</formula>
    </cfRule>
  </conditionalFormatting>
  <conditionalFormatting sqref="T32">
    <cfRule type="expression" dxfId="692" priority="326" stopIfTrue="1">
      <formula>$T$32="B"</formula>
    </cfRule>
  </conditionalFormatting>
  <conditionalFormatting sqref="U32">
    <cfRule type="expression" dxfId="691" priority="327" stopIfTrue="1">
      <formula>$U$32="P"</formula>
    </cfRule>
  </conditionalFormatting>
  <conditionalFormatting sqref="U32">
    <cfRule type="expression" dxfId="690" priority="328" stopIfTrue="1">
      <formula>$U$32="B"</formula>
    </cfRule>
  </conditionalFormatting>
  <conditionalFormatting sqref="V32">
    <cfRule type="expression" dxfId="689" priority="329" stopIfTrue="1">
      <formula>$V$32="P"</formula>
    </cfRule>
  </conditionalFormatting>
  <conditionalFormatting sqref="V32">
    <cfRule type="expression" dxfId="688" priority="330" stopIfTrue="1">
      <formula>$V$32="B"</formula>
    </cfRule>
  </conditionalFormatting>
  <conditionalFormatting sqref="W32">
    <cfRule type="expression" dxfId="687" priority="331" stopIfTrue="1">
      <formula>$W$32="P"</formula>
    </cfRule>
  </conditionalFormatting>
  <conditionalFormatting sqref="W32">
    <cfRule type="expression" dxfId="686" priority="332" stopIfTrue="1">
      <formula>$W$32="B"</formula>
    </cfRule>
  </conditionalFormatting>
  <conditionalFormatting sqref="X32">
    <cfRule type="expression" dxfId="685" priority="333" stopIfTrue="1">
      <formula>$X$32="P"</formula>
    </cfRule>
  </conditionalFormatting>
  <conditionalFormatting sqref="X32">
    <cfRule type="expression" dxfId="684" priority="334" stopIfTrue="1">
      <formula>$X$32="B"</formula>
    </cfRule>
  </conditionalFormatting>
  <conditionalFormatting sqref="Y32">
    <cfRule type="expression" dxfId="683" priority="335" stopIfTrue="1">
      <formula>$Y$32="P"</formula>
    </cfRule>
  </conditionalFormatting>
  <conditionalFormatting sqref="Y32">
    <cfRule type="expression" dxfId="682" priority="336" stopIfTrue="1">
      <formula>$Y$32="B"</formula>
    </cfRule>
  </conditionalFormatting>
  <conditionalFormatting sqref="Z32">
    <cfRule type="expression" dxfId="681" priority="337" stopIfTrue="1">
      <formula>$Z$32="P"</formula>
    </cfRule>
  </conditionalFormatting>
  <conditionalFormatting sqref="Z32">
    <cfRule type="expression" dxfId="680" priority="338" stopIfTrue="1">
      <formula>$Z$32="B"</formula>
    </cfRule>
  </conditionalFormatting>
  <conditionalFormatting sqref="AA32">
    <cfRule type="expression" dxfId="679" priority="339" stopIfTrue="1">
      <formula>$AA$32="P"</formula>
    </cfRule>
  </conditionalFormatting>
  <conditionalFormatting sqref="AA32">
    <cfRule type="expression" dxfId="678" priority="340" stopIfTrue="1">
      <formula>$AA$32="B"</formula>
    </cfRule>
  </conditionalFormatting>
  <conditionalFormatting sqref="AB32">
    <cfRule type="expression" dxfId="677" priority="341" stopIfTrue="1">
      <formula>$AB$32="P"</formula>
    </cfRule>
  </conditionalFormatting>
  <conditionalFormatting sqref="AB32">
    <cfRule type="expression" dxfId="676" priority="342" stopIfTrue="1">
      <formula>$AB$32="B"</formula>
    </cfRule>
  </conditionalFormatting>
  <conditionalFormatting sqref="AC32">
    <cfRule type="expression" dxfId="675" priority="343" stopIfTrue="1">
      <formula>$AC$32="P"</formula>
    </cfRule>
  </conditionalFormatting>
  <conditionalFormatting sqref="AC32">
    <cfRule type="expression" dxfId="674" priority="344" stopIfTrue="1">
      <formula>$AC$32="B"</formula>
    </cfRule>
  </conditionalFormatting>
  <conditionalFormatting sqref="AD32">
    <cfRule type="expression" dxfId="673" priority="345" stopIfTrue="1">
      <formula>$AD$32="P"</formula>
    </cfRule>
  </conditionalFormatting>
  <conditionalFormatting sqref="AD32">
    <cfRule type="expression" dxfId="672" priority="346" stopIfTrue="1">
      <formula>$AD$32="B"</formula>
    </cfRule>
  </conditionalFormatting>
  <conditionalFormatting sqref="AE32">
    <cfRule type="expression" dxfId="671" priority="347" stopIfTrue="1">
      <formula>$AE$32="P"</formula>
    </cfRule>
  </conditionalFormatting>
  <conditionalFormatting sqref="AE32">
    <cfRule type="expression" dxfId="670" priority="348" stopIfTrue="1">
      <formula>$AE$32="B"</formula>
    </cfRule>
  </conditionalFormatting>
  <conditionalFormatting sqref="AF32">
    <cfRule type="expression" dxfId="669" priority="349" stopIfTrue="1">
      <formula>$AF$32="P"</formula>
    </cfRule>
  </conditionalFormatting>
  <conditionalFormatting sqref="AF32">
    <cfRule type="expression" dxfId="668" priority="350" stopIfTrue="1">
      <formula>$AF$32="B"</formula>
    </cfRule>
  </conditionalFormatting>
  <conditionalFormatting sqref="AG32">
    <cfRule type="expression" dxfId="667" priority="351" stopIfTrue="1">
      <formula>$AG$32="P"</formula>
    </cfRule>
  </conditionalFormatting>
  <conditionalFormatting sqref="AG32">
    <cfRule type="expression" dxfId="666" priority="352" stopIfTrue="1">
      <formula>$AG$32="B"</formula>
    </cfRule>
  </conditionalFormatting>
  <conditionalFormatting sqref="X33">
    <cfRule type="expression" dxfId="665" priority="353" stopIfTrue="1">
      <formula>$X$33="P"</formula>
    </cfRule>
  </conditionalFormatting>
  <conditionalFormatting sqref="X33">
    <cfRule type="expression" dxfId="664" priority="354" stopIfTrue="1">
      <formula>$X$33="B"</formula>
    </cfRule>
  </conditionalFormatting>
  <conditionalFormatting sqref="Y33">
    <cfRule type="expression" dxfId="663" priority="355" stopIfTrue="1">
      <formula>$Y$33="P"</formula>
    </cfRule>
  </conditionalFormatting>
  <conditionalFormatting sqref="Y33">
    <cfRule type="expression" dxfId="662" priority="356" stopIfTrue="1">
      <formula>$Y$33="B"</formula>
    </cfRule>
  </conditionalFormatting>
  <conditionalFormatting sqref="Z33">
    <cfRule type="expression" dxfId="661" priority="357" stopIfTrue="1">
      <formula>$Z$33="P"</formula>
    </cfRule>
  </conditionalFormatting>
  <conditionalFormatting sqref="Z33">
    <cfRule type="expression" dxfId="660" priority="358" stopIfTrue="1">
      <formula>$Z$33="B"</formula>
    </cfRule>
  </conditionalFormatting>
  <conditionalFormatting sqref="AA33">
    <cfRule type="expression" dxfId="659" priority="359" stopIfTrue="1">
      <formula>$AA$33="P"</formula>
    </cfRule>
  </conditionalFormatting>
  <conditionalFormatting sqref="AA33">
    <cfRule type="expression" dxfId="658" priority="360" stopIfTrue="1">
      <formula>$AA$33="B"</formula>
    </cfRule>
  </conditionalFormatting>
  <conditionalFormatting sqref="AB33">
    <cfRule type="expression" dxfId="657" priority="361" stopIfTrue="1">
      <formula>$AB$33="P"</formula>
    </cfRule>
  </conditionalFormatting>
  <conditionalFormatting sqref="AB33">
    <cfRule type="expression" dxfId="656" priority="362" stopIfTrue="1">
      <formula>$AB$33="B"</formula>
    </cfRule>
  </conditionalFormatting>
  <conditionalFormatting sqref="AC33">
    <cfRule type="expression" dxfId="655" priority="363" stopIfTrue="1">
      <formula>$AC$33="P"</formula>
    </cfRule>
  </conditionalFormatting>
  <conditionalFormatting sqref="AC33">
    <cfRule type="expression" dxfId="654" priority="364" stopIfTrue="1">
      <formula>$AC$33="B"</formula>
    </cfRule>
  </conditionalFormatting>
  <conditionalFormatting sqref="AD33">
    <cfRule type="expression" dxfId="653" priority="365" stopIfTrue="1">
      <formula>$AD$33="P"</formula>
    </cfRule>
  </conditionalFormatting>
  <conditionalFormatting sqref="AD33">
    <cfRule type="expression" dxfId="652" priority="366" stopIfTrue="1">
      <formula>$AD$33="B"</formula>
    </cfRule>
  </conditionalFormatting>
  <conditionalFormatting sqref="AE33">
    <cfRule type="expression" dxfId="651" priority="367" stopIfTrue="1">
      <formula>$AE$33="P"</formula>
    </cfRule>
  </conditionalFormatting>
  <conditionalFormatting sqref="AE33">
    <cfRule type="expression" dxfId="650" priority="368" stopIfTrue="1">
      <formula>$AE$33="B"</formula>
    </cfRule>
  </conditionalFormatting>
  <conditionalFormatting sqref="AF33">
    <cfRule type="expression" dxfId="649" priority="369" stopIfTrue="1">
      <formula>$AF$33="P"</formula>
    </cfRule>
  </conditionalFormatting>
  <conditionalFormatting sqref="AF33">
    <cfRule type="expression" dxfId="648" priority="370" stopIfTrue="1">
      <formula>$AF$33="B"</formula>
    </cfRule>
  </conditionalFormatting>
  <conditionalFormatting sqref="AG33">
    <cfRule type="expression" dxfId="647" priority="371" stopIfTrue="1">
      <formula>$AG$33="P"</formula>
    </cfRule>
  </conditionalFormatting>
  <conditionalFormatting sqref="AG33">
    <cfRule type="expression" dxfId="646" priority="372" stopIfTrue="1">
      <formula>$AG$33="B"</formula>
    </cfRule>
  </conditionalFormatting>
  <conditionalFormatting sqref="AH33">
    <cfRule type="expression" dxfId="645" priority="373" stopIfTrue="1">
      <formula>$AH$33="P"</formula>
    </cfRule>
  </conditionalFormatting>
  <conditionalFormatting sqref="AH33">
    <cfRule type="expression" dxfId="644" priority="374" stopIfTrue="1">
      <formula>$AH$33="B"</formula>
    </cfRule>
  </conditionalFormatting>
  <conditionalFormatting sqref="AI33">
    <cfRule type="expression" dxfId="643" priority="375" stopIfTrue="1">
      <formula>$AI$33="P"</formula>
    </cfRule>
  </conditionalFormatting>
  <conditionalFormatting sqref="AI33">
    <cfRule type="expression" dxfId="642" priority="376" stopIfTrue="1">
      <formula>$AI$33="B"</formula>
    </cfRule>
  </conditionalFormatting>
  <conditionalFormatting sqref="AJ33">
    <cfRule type="expression" dxfId="641" priority="377" stopIfTrue="1">
      <formula>$AJ$33="P"</formula>
    </cfRule>
  </conditionalFormatting>
  <conditionalFormatting sqref="AJ33">
    <cfRule type="expression" dxfId="640" priority="378" stopIfTrue="1">
      <formula>$AJ$33="B"</formula>
    </cfRule>
  </conditionalFormatting>
  <conditionalFormatting sqref="AK33">
    <cfRule type="expression" dxfId="639" priority="379" stopIfTrue="1">
      <formula>$AK$33="P"</formula>
    </cfRule>
  </conditionalFormatting>
  <conditionalFormatting sqref="AK33">
    <cfRule type="expression" dxfId="638" priority="380" stopIfTrue="1">
      <formula>$AK$33="B"</formula>
    </cfRule>
  </conditionalFormatting>
  <conditionalFormatting sqref="AL33">
    <cfRule type="expression" dxfId="637" priority="381" stopIfTrue="1">
      <formula>$AL$33="P"</formula>
    </cfRule>
  </conditionalFormatting>
  <conditionalFormatting sqref="AL33">
    <cfRule type="expression" dxfId="636" priority="382" stopIfTrue="1">
      <formula>$AL$33="B"</formula>
    </cfRule>
  </conditionalFormatting>
  <conditionalFormatting sqref="AM33">
    <cfRule type="expression" dxfId="635" priority="383" stopIfTrue="1">
      <formula>$AM$33="P"</formula>
    </cfRule>
  </conditionalFormatting>
  <conditionalFormatting sqref="AM33">
    <cfRule type="expression" dxfId="634" priority="384" stopIfTrue="1">
      <formula>$AM$33="B"</formula>
    </cfRule>
  </conditionalFormatting>
  <conditionalFormatting sqref="AN33">
    <cfRule type="expression" dxfId="633" priority="385" stopIfTrue="1">
      <formula>$AN$33="P"</formula>
    </cfRule>
  </conditionalFormatting>
  <conditionalFormatting sqref="AN33">
    <cfRule type="expression" dxfId="632" priority="386" stopIfTrue="1">
      <formula>$AN$33="B"</formula>
    </cfRule>
  </conditionalFormatting>
  <conditionalFormatting sqref="AO33">
    <cfRule type="expression" dxfId="631" priority="387" stopIfTrue="1">
      <formula>$AO$33="P"</formula>
    </cfRule>
  </conditionalFormatting>
  <conditionalFormatting sqref="AO33">
    <cfRule type="expression" dxfId="630" priority="388" stopIfTrue="1">
      <formula>$AO$33="B"</formula>
    </cfRule>
  </conditionalFormatting>
  <conditionalFormatting sqref="AP33">
    <cfRule type="expression" dxfId="629" priority="389" stopIfTrue="1">
      <formula>$AP$33="P"</formula>
    </cfRule>
  </conditionalFormatting>
  <conditionalFormatting sqref="AP33">
    <cfRule type="expression" dxfId="628" priority="390" stopIfTrue="1">
      <formula>$AP$33="B"</formula>
    </cfRule>
  </conditionalFormatting>
  <conditionalFormatting sqref="AQ33">
    <cfRule type="expression" dxfId="627" priority="391" stopIfTrue="1">
      <formula>$AQ$33="P"</formula>
    </cfRule>
  </conditionalFormatting>
  <conditionalFormatting sqref="AQ33">
    <cfRule type="expression" dxfId="626" priority="392" stopIfTrue="1">
      <formula>$AQ$33="B"</formula>
    </cfRule>
  </conditionalFormatting>
  <conditionalFormatting sqref="AH34">
    <cfRule type="expression" dxfId="625" priority="393" stopIfTrue="1">
      <formula>$AH$34="P"</formula>
    </cfRule>
  </conditionalFormatting>
  <conditionalFormatting sqref="AH34">
    <cfRule type="expression" dxfId="624" priority="394" stopIfTrue="1">
      <formula>$AH$34="B"</formula>
    </cfRule>
  </conditionalFormatting>
  <conditionalFormatting sqref="AI34">
    <cfRule type="expression" dxfId="623" priority="395" stopIfTrue="1">
      <formula>$AI$34="P"</formula>
    </cfRule>
  </conditionalFormatting>
  <conditionalFormatting sqref="AI34">
    <cfRule type="expression" dxfId="622" priority="396" stopIfTrue="1">
      <formula>$AI$34="B"</formula>
    </cfRule>
  </conditionalFormatting>
  <conditionalFormatting sqref="AJ34">
    <cfRule type="expression" dxfId="621" priority="397" stopIfTrue="1">
      <formula>$AJ$34="P"</formula>
    </cfRule>
  </conditionalFormatting>
  <conditionalFormatting sqref="AJ34">
    <cfRule type="expression" dxfId="620" priority="398" stopIfTrue="1">
      <formula>$AJ$34="B"</formula>
    </cfRule>
  </conditionalFormatting>
  <conditionalFormatting sqref="AK34">
    <cfRule type="expression" dxfId="619" priority="399" stopIfTrue="1">
      <formula>$AK$34="P"</formula>
    </cfRule>
  </conditionalFormatting>
  <conditionalFormatting sqref="AK34">
    <cfRule type="expression" dxfId="618" priority="400" stopIfTrue="1">
      <formula>$AK$34="B"</formula>
    </cfRule>
  </conditionalFormatting>
  <conditionalFormatting sqref="AL34">
    <cfRule type="expression" dxfId="617" priority="401" stopIfTrue="1">
      <formula>$AL$34="P"</formula>
    </cfRule>
  </conditionalFormatting>
  <conditionalFormatting sqref="AL34">
    <cfRule type="expression" dxfId="616" priority="402" stopIfTrue="1">
      <formula>$AL$34="B"</formula>
    </cfRule>
  </conditionalFormatting>
  <conditionalFormatting sqref="AM34">
    <cfRule type="expression" dxfId="615" priority="403" stopIfTrue="1">
      <formula>$AM$34="P"</formula>
    </cfRule>
  </conditionalFormatting>
  <conditionalFormatting sqref="AM34">
    <cfRule type="expression" dxfId="614" priority="404" stopIfTrue="1">
      <formula>$AM$34="B"</formula>
    </cfRule>
  </conditionalFormatting>
  <conditionalFormatting sqref="AN34">
    <cfRule type="expression" dxfId="613" priority="405" stopIfTrue="1">
      <formula>$AN$34="P"</formula>
    </cfRule>
  </conditionalFormatting>
  <conditionalFormatting sqref="AN34">
    <cfRule type="expression" dxfId="612" priority="406" stopIfTrue="1">
      <formula>$AN$34="B"</formula>
    </cfRule>
  </conditionalFormatting>
  <conditionalFormatting sqref="AO34">
    <cfRule type="expression" dxfId="611" priority="407" stopIfTrue="1">
      <formula>$AO$34="P"</formula>
    </cfRule>
  </conditionalFormatting>
  <conditionalFormatting sqref="AO34">
    <cfRule type="expression" dxfId="610" priority="408" stopIfTrue="1">
      <formula>$AO$34="B"</formula>
    </cfRule>
  </conditionalFormatting>
  <conditionalFormatting sqref="AP34">
    <cfRule type="expression" dxfId="609" priority="409" stopIfTrue="1">
      <formula>$AP$34="P"</formula>
    </cfRule>
  </conditionalFormatting>
  <conditionalFormatting sqref="AP34">
    <cfRule type="expression" dxfId="608" priority="410" stopIfTrue="1">
      <formula>$AP$34="B"</formula>
    </cfRule>
  </conditionalFormatting>
  <conditionalFormatting sqref="AQ34">
    <cfRule type="expression" dxfId="607" priority="411" stopIfTrue="1">
      <formula>$AQ$34="P"</formula>
    </cfRule>
  </conditionalFormatting>
  <conditionalFormatting sqref="AQ34">
    <cfRule type="expression" dxfId="606" priority="412" stopIfTrue="1">
      <formula>$AQ$34="B"</formula>
    </cfRule>
  </conditionalFormatting>
  <conditionalFormatting sqref="AR34">
    <cfRule type="expression" dxfId="605" priority="413" stopIfTrue="1">
      <formula>$AR$34="P"</formula>
    </cfRule>
  </conditionalFormatting>
  <conditionalFormatting sqref="AR34">
    <cfRule type="expression" dxfId="604" priority="414" stopIfTrue="1">
      <formula>$AR$34="B"</formula>
    </cfRule>
  </conditionalFormatting>
  <conditionalFormatting sqref="AS34">
    <cfRule type="expression" dxfId="603" priority="415" stopIfTrue="1">
      <formula>$AS$34="P"</formula>
    </cfRule>
  </conditionalFormatting>
  <conditionalFormatting sqref="AS34">
    <cfRule type="expression" dxfId="602" priority="416" stopIfTrue="1">
      <formula>$AS$34="B"</formula>
    </cfRule>
  </conditionalFormatting>
  <conditionalFormatting sqref="AT34">
    <cfRule type="expression" dxfId="601" priority="417" stopIfTrue="1">
      <formula>$AT$34="P"</formula>
    </cfRule>
  </conditionalFormatting>
  <conditionalFormatting sqref="AT34">
    <cfRule type="expression" dxfId="600" priority="418" stopIfTrue="1">
      <formula>$AT$34="B"</formula>
    </cfRule>
  </conditionalFormatting>
  <conditionalFormatting sqref="AU34">
    <cfRule type="expression" dxfId="599" priority="419" stopIfTrue="1">
      <formula>$AU$34="P"</formula>
    </cfRule>
  </conditionalFormatting>
  <conditionalFormatting sqref="AU34">
    <cfRule type="expression" dxfId="598" priority="420" stopIfTrue="1">
      <formula>$AU$34="B"</formula>
    </cfRule>
  </conditionalFormatting>
  <conditionalFormatting sqref="AV34">
    <cfRule type="expression" dxfId="597" priority="421" stopIfTrue="1">
      <formula>$AV$34="P"</formula>
    </cfRule>
  </conditionalFormatting>
  <conditionalFormatting sqref="AV34">
    <cfRule type="expression" dxfId="596" priority="422" stopIfTrue="1">
      <formula>$AV$34="B"</formula>
    </cfRule>
  </conditionalFormatting>
  <conditionalFormatting sqref="AW34">
    <cfRule type="expression" dxfId="595" priority="423" stopIfTrue="1">
      <formula>$AW$34="P"</formula>
    </cfRule>
  </conditionalFormatting>
  <conditionalFormatting sqref="AW34">
    <cfRule type="expression" dxfId="594" priority="424" stopIfTrue="1">
      <formula>$AW$34="B"</formula>
    </cfRule>
  </conditionalFormatting>
  <conditionalFormatting sqref="AX34">
    <cfRule type="expression" dxfId="593" priority="425" stopIfTrue="1">
      <formula>$AX$34="P"</formula>
    </cfRule>
  </conditionalFormatting>
  <conditionalFormatting sqref="AX34">
    <cfRule type="expression" dxfId="592" priority="426" stopIfTrue="1">
      <formula>$AX$34="B"</formula>
    </cfRule>
  </conditionalFormatting>
  <conditionalFormatting sqref="AY34">
    <cfRule type="expression" dxfId="591" priority="427" stopIfTrue="1">
      <formula>$AY$34="P"</formula>
    </cfRule>
  </conditionalFormatting>
  <conditionalFormatting sqref="AY34">
    <cfRule type="expression" dxfId="590" priority="428" stopIfTrue="1">
      <formula>$AY$34="B"</formula>
    </cfRule>
  </conditionalFormatting>
  <conditionalFormatting sqref="AZ34">
    <cfRule type="expression" dxfId="589" priority="429" stopIfTrue="1">
      <formula>$AZ$34="P"</formula>
    </cfRule>
  </conditionalFormatting>
  <conditionalFormatting sqref="AZ34">
    <cfRule type="expression" dxfId="588" priority="430" stopIfTrue="1">
      <formula>$AZ$34="B"</formula>
    </cfRule>
  </conditionalFormatting>
  <conditionalFormatting sqref="BA34">
    <cfRule type="expression" dxfId="587" priority="431" stopIfTrue="1">
      <formula>$BA$34="P"</formula>
    </cfRule>
  </conditionalFormatting>
  <conditionalFormatting sqref="BA34">
    <cfRule type="expression" dxfId="586" priority="432" stopIfTrue="1">
      <formula>$BA$34="B"</formula>
    </cfRule>
  </conditionalFormatting>
  <conditionalFormatting sqref="AR35">
    <cfRule type="expression" dxfId="585" priority="433" stopIfTrue="1">
      <formula>$AR$35="P"</formula>
    </cfRule>
  </conditionalFormatting>
  <conditionalFormatting sqref="AR35">
    <cfRule type="expression" dxfId="584" priority="434" stopIfTrue="1">
      <formula>$AR$35="B"</formula>
    </cfRule>
  </conditionalFormatting>
  <conditionalFormatting sqref="AS35">
    <cfRule type="expression" dxfId="583" priority="435" stopIfTrue="1">
      <formula>$AS$35="P"</formula>
    </cfRule>
  </conditionalFormatting>
  <conditionalFormatting sqref="AS35">
    <cfRule type="expression" dxfId="582" priority="436" stopIfTrue="1">
      <formula>$AS$35="B"</formula>
    </cfRule>
  </conditionalFormatting>
  <conditionalFormatting sqref="AT35">
    <cfRule type="expression" dxfId="581" priority="437" stopIfTrue="1">
      <formula>$AT$35="P"</formula>
    </cfRule>
  </conditionalFormatting>
  <conditionalFormatting sqref="AT35">
    <cfRule type="expression" dxfId="580" priority="438" stopIfTrue="1">
      <formula>$AT$35="B"</formula>
    </cfRule>
  </conditionalFormatting>
  <conditionalFormatting sqref="AU35">
    <cfRule type="expression" dxfId="579" priority="439" stopIfTrue="1">
      <formula>$AU$35="P"</formula>
    </cfRule>
  </conditionalFormatting>
  <conditionalFormatting sqref="AU35">
    <cfRule type="expression" dxfId="578" priority="440" stopIfTrue="1">
      <formula>$AU$35="B"</formula>
    </cfRule>
  </conditionalFormatting>
  <conditionalFormatting sqref="AV35">
    <cfRule type="expression" dxfId="577" priority="441" stopIfTrue="1">
      <formula>$AV$35="P"</formula>
    </cfRule>
  </conditionalFormatting>
  <conditionalFormatting sqref="AV35">
    <cfRule type="expression" dxfId="576" priority="442" stopIfTrue="1">
      <formula>$AV$35="B"</formula>
    </cfRule>
  </conditionalFormatting>
  <conditionalFormatting sqref="AW35">
    <cfRule type="expression" dxfId="575" priority="443" stopIfTrue="1">
      <formula>$AW$35="P"</formula>
    </cfRule>
  </conditionalFormatting>
  <conditionalFormatting sqref="AW35">
    <cfRule type="expression" dxfId="574" priority="444" stopIfTrue="1">
      <formula>$AW$35="B"</formula>
    </cfRule>
  </conditionalFormatting>
  <conditionalFormatting sqref="AX35">
    <cfRule type="expression" dxfId="573" priority="445" stopIfTrue="1">
      <formula>$AX$35="P"</formula>
    </cfRule>
  </conditionalFormatting>
  <conditionalFormatting sqref="AX35">
    <cfRule type="expression" dxfId="572" priority="446" stopIfTrue="1">
      <formula>$AX$35="B"</formula>
    </cfRule>
  </conditionalFormatting>
  <conditionalFormatting sqref="AY35">
    <cfRule type="expression" dxfId="571" priority="447" stopIfTrue="1">
      <formula>$AY$35="P"</formula>
    </cfRule>
  </conditionalFormatting>
  <conditionalFormatting sqref="AY35">
    <cfRule type="expression" dxfId="570" priority="448" stopIfTrue="1">
      <formula>$AY$35="B"</formula>
    </cfRule>
  </conditionalFormatting>
  <conditionalFormatting sqref="AZ35">
    <cfRule type="expression" dxfId="569" priority="449" stopIfTrue="1">
      <formula>$AZ$35="P"</formula>
    </cfRule>
  </conditionalFormatting>
  <conditionalFormatting sqref="AZ35">
    <cfRule type="expression" dxfId="568" priority="450" stopIfTrue="1">
      <formula>$AZ$35="B"</formula>
    </cfRule>
  </conditionalFormatting>
  <conditionalFormatting sqref="BA35">
    <cfRule type="expression" dxfId="567" priority="451" stopIfTrue="1">
      <formula>$BA$35="P"</formula>
    </cfRule>
  </conditionalFormatting>
  <conditionalFormatting sqref="BA35">
    <cfRule type="expression" dxfId="566" priority="452" stopIfTrue="1">
      <formula>$BA$35="B"</formula>
    </cfRule>
  </conditionalFormatting>
  <conditionalFormatting sqref="BB35">
    <cfRule type="expression" dxfId="565" priority="453" stopIfTrue="1">
      <formula>$BB$35="P"</formula>
    </cfRule>
  </conditionalFormatting>
  <conditionalFormatting sqref="BB35">
    <cfRule type="expression" dxfId="564" priority="454" stopIfTrue="1">
      <formula>$BB$35="B"</formula>
    </cfRule>
  </conditionalFormatting>
  <conditionalFormatting sqref="BC35">
    <cfRule type="expression" dxfId="563" priority="455" stopIfTrue="1">
      <formula>$BC$35="P"</formula>
    </cfRule>
  </conditionalFormatting>
  <conditionalFormatting sqref="BC35">
    <cfRule type="expression" dxfId="562" priority="456" stopIfTrue="1">
      <formula>$BC$35="B"</formula>
    </cfRule>
  </conditionalFormatting>
  <conditionalFormatting sqref="BD35">
    <cfRule type="expression" dxfId="561" priority="457" stopIfTrue="1">
      <formula>$BD$35="P"</formula>
    </cfRule>
  </conditionalFormatting>
  <conditionalFormatting sqref="BD35">
    <cfRule type="expression" dxfId="560" priority="458" stopIfTrue="1">
      <formula>$BD$35="B"</formula>
    </cfRule>
  </conditionalFormatting>
  <conditionalFormatting sqref="BE35">
    <cfRule type="expression" dxfId="559" priority="459" stopIfTrue="1">
      <formula>$BE$35="P"</formula>
    </cfRule>
  </conditionalFormatting>
  <conditionalFormatting sqref="BE35">
    <cfRule type="expression" dxfId="558" priority="460" stopIfTrue="1">
      <formula>$BE$35="B"</formula>
    </cfRule>
  </conditionalFormatting>
  <conditionalFormatting sqref="BF35">
    <cfRule type="expression" dxfId="557" priority="461" stopIfTrue="1">
      <formula>$BF$35="P"</formula>
    </cfRule>
  </conditionalFormatting>
  <conditionalFormatting sqref="BF35">
    <cfRule type="expression" dxfId="556" priority="462" stopIfTrue="1">
      <formula>$BF$35="B"</formula>
    </cfRule>
  </conditionalFormatting>
  <conditionalFormatting sqref="BG35">
    <cfRule type="expression" dxfId="555" priority="463" stopIfTrue="1">
      <formula>$BG$35="P"</formula>
    </cfRule>
  </conditionalFormatting>
  <conditionalFormatting sqref="BG35">
    <cfRule type="expression" dxfId="554" priority="464" stopIfTrue="1">
      <formula>$BG$35="B"</formula>
    </cfRule>
  </conditionalFormatting>
  <conditionalFormatting sqref="BH35">
    <cfRule type="expression" dxfId="553" priority="465" stopIfTrue="1">
      <formula>$BH$35="P"</formula>
    </cfRule>
  </conditionalFormatting>
  <conditionalFormatting sqref="BH35">
    <cfRule type="expression" dxfId="552" priority="466" stopIfTrue="1">
      <formula>$BH$35="B"</formula>
    </cfRule>
  </conditionalFormatting>
  <conditionalFormatting sqref="BI35">
    <cfRule type="expression" dxfId="551" priority="467" stopIfTrue="1">
      <formula>$BI$35="P"</formula>
    </cfRule>
  </conditionalFormatting>
  <conditionalFormatting sqref="BI35">
    <cfRule type="expression" dxfId="550" priority="468" stopIfTrue="1">
      <formula>$BI$35="B"</formula>
    </cfRule>
  </conditionalFormatting>
  <conditionalFormatting sqref="BJ35">
    <cfRule type="expression" dxfId="549" priority="469" stopIfTrue="1">
      <formula>$BJ$35="P"</formula>
    </cfRule>
  </conditionalFormatting>
  <conditionalFormatting sqref="BJ35">
    <cfRule type="expression" dxfId="548" priority="470" stopIfTrue="1">
      <formula>$BJ$35="B"</formula>
    </cfRule>
  </conditionalFormatting>
  <conditionalFormatting sqref="BK35">
    <cfRule type="expression" dxfId="547" priority="471" stopIfTrue="1">
      <formula>$BK$35="P"</formula>
    </cfRule>
  </conditionalFormatting>
  <conditionalFormatting sqref="BK35">
    <cfRule type="expression" dxfId="546" priority="472" stopIfTrue="1">
      <formula>$BK$35="B"</formula>
    </cfRule>
  </conditionalFormatting>
  <conditionalFormatting sqref="BB36">
    <cfRule type="expression" dxfId="545" priority="473" stopIfTrue="1">
      <formula>$BB$36="P"</formula>
    </cfRule>
  </conditionalFormatting>
  <conditionalFormatting sqref="BB36">
    <cfRule type="expression" dxfId="544" priority="474" stopIfTrue="1">
      <formula>$BB$36="B"</formula>
    </cfRule>
  </conditionalFormatting>
  <conditionalFormatting sqref="BC36">
    <cfRule type="expression" dxfId="543" priority="475" stopIfTrue="1">
      <formula>$BC$36="P"</formula>
    </cfRule>
  </conditionalFormatting>
  <conditionalFormatting sqref="BC36">
    <cfRule type="expression" dxfId="542" priority="476" stopIfTrue="1">
      <formula>$BC$36="B"</formula>
    </cfRule>
  </conditionalFormatting>
  <conditionalFormatting sqref="BD36">
    <cfRule type="expression" dxfId="541" priority="477" stopIfTrue="1">
      <formula>$BD$36="P"</formula>
    </cfRule>
  </conditionalFormatting>
  <conditionalFormatting sqref="BD36">
    <cfRule type="expression" dxfId="540" priority="478" stopIfTrue="1">
      <formula>$BD$36="B"</formula>
    </cfRule>
  </conditionalFormatting>
  <conditionalFormatting sqref="BE36">
    <cfRule type="expression" dxfId="539" priority="479" stopIfTrue="1">
      <formula>$BE$36="P"</formula>
    </cfRule>
  </conditionalFormatting>
  <conditionalFormatting sqref="BE36">
    <cfRule type="expression" dxfId="538" priority="480" stopIfTrue="1">
      <formula>$BE$36="B"</formula>
    </cfRule>
  </conditionalFormatting>
  <conditionalFormatting sqref="BF36">
    <cfRule type="expression" dxfId="537" priority="481" stopIfTrue="1">
      <formula>$BF$36="P"</formula>
    </cfRule>
  </conditionalFormatting>
  <conditionalFormatting sqref="BF36">
    <cfRule type="expression" dxfId="536" priority="482" stopIfTrue="1">
      <formula>$BF$36="B"</formula>
    </cfRule>
  </conditionalFormatting>
  <conditionalFormatting sqref="BG36">
    <cfRule type="expression" dxfId="535" priority="483" stopIfTrue="1">
      <formula>$BG$36="P"</formula>
    </cfRule>
  </conditionalFormatting>
  <conditionalFormatting sqref="BG36">
    <cfRule type="expression" dxfId="534" priority="484" stopIfTrue="1">
      <formula>$BG$36="B"</formula>
    </cfRule>
  </conditionalFormatting>
  <conditionalFormatting sqref="BH36">
    <cfRule type="expression" dxfId="533" priority="485" stopIfTrue="1">
      <formula>$BH$36="P"</formula>
    </cfRule>
  </conditionalFormatting>
  <conditionalFormatting sqref="BH36">
    <cfRule type="expression" dxfId="532" priority="486" stopIfTrue="1">
      <formula>$BH$36="B"</formula>
    </cfRule>
  </conditionalFormatting>
  <conditionalFormatting sqref="BI36">
    <cfRule type="expression" dxfId="531" priority="487" stopIfTrue="1">
      <formula>$BI$36="P"</formula>
    </cfRule>
  </conditionalFormatting>
  <conditionalFormatting sqref="BI36">
    <cfRule type="expression" dxfId="530" priority="488" stopIfTrue="1">
      <formula>$BI$36="B"</formula>
    </cfRule>
  </conditionalFormatting>
  <conditionalFormatting sqref="BJ36">
    <cfRule type="expression" dxfId="529" priority="489" stopIfTrue="1">
      <formula>$BJ$36="P"</formula>
    </cfRule>
  </conditionalFormatting>
  <conditionalFormatting sqref="BJ36">
    <cfRule type="expression" dxfId="528" priority="490" stopIfTrue="1">
      <formula>$BJ$36="B"</formula>
    </cfRule>
  </conditionalFormatting>
  <conditionalFormatting sqref="BK36">
    <cfRule type="expression" dxfId="527" priority="491" stopIfTrue="1">
      <formula>$BK$36="P"</formula>
    </cfRule>
  </conditionalFormatting>
  <conditionalFormatting sqref="BK36">
    <cfRule type="expression" dxfId="526" priority="492" stopIfTrue="1">
      <formula>$BK$36="B"</formula>
    </cfRule>
  </conditionalFormatting>
  <conditionalFormatting sqref="D36">
    <cfRule type="expression" dxfId="525" priority="493" stopIfTrue="1">
      <formula>$D$36="P"</formula>
    </cfRule>
  </conditionalFormatting>
  <conditionalFormatting sqref="D36">
    <cfRule type="expression" dxfId="524" priority="494" stopIfTrue="1">
      <formula>$D$36="B"</formula>
    </cfRule>
  </conditionalFormatting>
  <conditionalFormatting sqref="E36">
    <cfRule type="expression" dxfId="523" priority="495" stopIfTrue="1">
      <formula>$E$36="P"</formula>
    </cfRule>
  </conditionalFormatting>
  <conditionalFormatting sqref="E36">
    <cfRule type="expression" dxfId="522" priority="496" stopIfTrue="1">
      <formula>$E$36="B"</formula>
    </cfRule>
  </conditionalFormatting>
  <conditionalFormatting sqref="F36">
    <cfRule type="expression" dxfId="521" priority="497" stopIfTrue="1">
      <formula>$F$36="P"</formula>
    </cfRule>
  </conditionalFormatting>
  <conditionalFormatting sqref="F36">
    <cfRule type="expression" dxfId="520" priority="498" stopIfTrue="1">
      <formula>$F$36="B"</formula>
    </cfRule>
  </conditionalFormatting>
  <conditionalFormatting sqref="G36">
    <cfRule type="expression" dxfId="519" priority="499" stopIfTrue="1">
      <formula>$G$36="P"</formula>
    </cfRule>
  </conditionalFormatting>
  <conditionalFormatting sqref="G36">
    <cfRule type="expression" dxfId="518" priority="500" stopIfTrue="1">
      <formula>$G$36="B"</formula>
    </cfRule>
  </conditionalFormatting>
  <conditionalFormatting sqref="H36">
    <cfRule type="expression" dxfId="517" priority="501" stopIfTrue="1">
      <formula>$H$36="P"</formula>
    </cfRule>
  </conditionalFormatting>
  <conditionalFormatting sqref="H36">
    <cfRule type="expression" dxfId="516" priority="502" stopIfTrue="1">
      <formula>$H$36="B"</formula>
    </cfRule>
  </conditionalFormatting>
  <conditionalFormatting sqref="I36">
    <cfRule type="expression" dxfId="515" priority="503" stopIfTrue="1">
      <formula>$I$36="P"</formula>
    </cfRule>
  </conditionalFormatting>
  <conditionalFormatting sqref="I36">
    <cfRule type="expression" dxfId="514" priority="504" stopIfTrue="1">
      <formula>$I$36="B"</formula>
    </cfRule>
  </conditionalFormatting>
  <conditionalFormatting sqref="J36">
    <cfRule type="expression" dxfId="513" priority="505" stopIfTrue="1">
      <formula>$J$36="P"</formula>
    </cfRule>
  </conditionalFormatting>
  <conditionalFormatting sqref="J36">
    <cfRule type="expression" dxfId="512" priority="506" stopIfTrue="1">
      <formula>$J$36="B"</formula>
    </cfRule>
  </conditionalFormatting>
  <conditionalFormatting sqref="K36">
    <cfRule type="expression" dxfId="511" priority="507" stopIfTrue="1">
      <formula>$K$36="P"</formula>
    </cfRule>
  </conditionalFormatting>
  <conditionalFormatting sqref="K36">
    <cfRule type="expression" dxfId="510" priority="508" stopIfTrue="1">
      <formula>$K$36="B"</formula>
    </cfRule>
  </conditionalFormatting>
  <conditionalFormatting sqref="L36">
    <cfRule type="expression" dxfId="509" priority="509" stopIfTrue="1">
      <formula>$L$36="P"</formula>
    </cfRule>
  </conditionalFormatting>
  <conditionalFormatting sqref="L36">
    <cfRule type="expression" dxfId="508" priority="510" stopIfTrue="1">
      <formula>$L$36="B"</formula>
    </cfRule>
  </conditionalFormatting>
  <conditionalFormatting sqref="M36">
    <cfRule type="expression" dxfId="507" priority="511" stopIfTrue="1">
      <formula>$M$36="P"</formula>
    </cfRule>
  </conditionalFormatting>
  <conditionalFormatting sqref="M36">
    <cfRule type="expression" dxfId="506" priority="512" stopIfTrue="1">
      <formula>$M$36="B"</formula>
    </cfRule>
  </conditionalFormatting>
  <conditionalFormatting sqref="D37:BK37">
    <cfRule type="iconSet" priority="3">
      <iconSet iconSet="3Symbols2" showValue="0">
        <cfvo type="percent" val="0"/>
        <cfvo type="percent" val="33"/>
        <cfvo type="num" val="0" gte="0"/>
      </iconSet>
    </cfRule>
  </conditionalFormatting>
  <conditionalFormatting sqref="B56">
    <cfRule type="expression" dxfId="505" priority="515" stopIfTrue="1">
      <formula>$C$56="running"</formula>
    </cfRule>
  </conditionalFormatting>
  <conditionalFormatting sqref="B56">
    <cfRule type="expression" dxfId="504" priority="516" stopIfTrue="1">
      <formula>$C$56="failing"</formula>
    </cfRule>
  </conditionalFormatting>
  <conditionalFormatting sqref="B57">
    <cfRule type="expression" dxfId="503" priority="517" stopIfTrue="1">
      <formula>$C$57="running"</formula>
    </cfRule>
  </conditionalFormatting>
  <conditionalFormatting sqref="B57">
    <cfRule type="expression" dxfId="502" priority="518" stopIfTrue="1">
      <formula>$C$57="failing"</formula>
    </cfRule>
  </conditionalFormatting>
  <conditionalFormatting sqref="B58">
    <cfRule type="expression" dxfId="501" priority="519" stopIfTrue="1">
      <formula>$C$58="running"</formula>
    </cfRule>
  </conditionalFormatting>
  <conditionalFormatting sqref="B58">
    <cfRule type="expression" dxfId="500" priority="520" stopIfTrue="1">
      <formula>$C$58="failing"</formula>
    </cfRule>
  </conditionalFormatting>
  <conditionalFormatting sqref="B59">
    <cfRule type="expression" dxfId="499" priority="521" stopIfTrue="1">
      <formula>$C$59="running"</formula>
    </cfRule>
  </conditionalFormatting>
  <conditionalFormatting sqref="B59">
    <cfRule type="expression" dxfId="498" priority="522" stopIfTrue="1">
      <formula>$C$59="failing"</formula>
    </cfRule>
  </conditionalFormatting>
  <conditionalFormatting sqref="B60">
    <cfRule type="expression" dxfId="497" priority="523" stopIfTrue="1">
      <formula>$C$60="running"</formula>
    </cfRule>
  </conditionalFormatting>
  <conditionalFormatting sqref="B60">
    <cfRule type="expression" dxfId="496" priority="524" stopIfTrue="1">
      <formula>$C$60="failing"</formula>
    </cfRule>
  </conditionalFormatting>
  <conditionalFormatting sqref="B61">
    <cfRule type="expression" dxfId="495" priority="525" stopIfTrue="1">
      <formula>$C$61="running"</formula>
    </cfRule>
  </conditionalFormatting>
  <conditionalFormatting sqref="B61">
    <cfRule type="expression" dxfId="494" priority="526" stopIfTrue="1">
      <formula>$C$61="failing"</formula>
    </cfRule>
  </conditionalFormatting>
  <conditionalFormatting sqref="D56">
    <cfRule type="expression" dxfId="493" priority="527" stopIfTrue="1">
      <formula>$D$56="P"</formula>
    </cfRule>
  </conditionalFormatting>
  <conditionalFormatting sqref="D56">
    <cfRule type="expression" dxfId="492" priority="528" stopIfTrue="1">
      <formula>$D$56="B"</formula>
    </cfRule>
  </conditionalFormatting>
  <conditionalFormatting sqref="E56">
    <cfRule type="expression" dxfId="491" priority="529" stopIfTrue="1">
      <formula>$E$56="P"</formula>
    </cfRule>
  </conditionalFormatting>
  <conditionalFormatting sqref="E56">
    <cfRule type="expression" dxfId="490" priority="530" stopIfTrue="1">
      <formula>$E$56="B"</formula>
    </cfRule>
  </conditionalFormatting>
  <conditionalFormatting sqref="F56">
    <cfRule type="expression" dxfId="489" priority="531" stopIfTrue="1">
      <formula>$F$56="P"</formula>
    </cfRule>
  </conditionalFormatting>
  <conditionalFormatting sqref="F56">
    <cfRule type="expression" dxfId="488" priority="532" stopIfTrue="1">
      <formula>$F$56="B"</formula>
    </cfRule>
  </conditionalFormatting>
  <conditionalFormatting sqref="G56">
    <cfRule type="expression" dxfId="487" priority="533" stopIfTrue="1">
      <formula>$G$56="P"</formula>
    </cfRule>
  </conditionalFormatting>
  <conditionalFormatting sqref="G56">
    <cfRule type="expression" dxfId="486" priority="534" stopIfTrue="1">
      <formula>$G$56="B"</formula>
    </cfRule>
  </conditionalFormatting>
  <conditionalFormatting sqref="H56">
    <cfRule type="expression" dxfId="485" priority="535" stopIfTrue="1">
      <formula>$H$56="P"</formula>
    </cfRule>
  </conditionalFormatting>
  <conditionalFormatting sqref="H56">
    <cfRule type="expression" dxfId="484" priority="536" stopIfTrue="1">
      <formula>$H$56="B"</formula>
    </cfRule>
  </conditionalFormatting>
  <conditionalFormatting sqref="I56">
    <cfRule type="expression" dxfId="483" priority="537" stopIfTrue="1">
      <formula>$I$56="P"</formula>
    </cfRule>
  </conditionalFormatting>
  <conditionalFormatting sqref="I56">
    <cfRule type="expression" dxfId="482" priority="538" stopIfTrue="1">
      <formula>$I$56="B"</formula>
    </cfRule>
  </conditionalFormatting>
  <conditionalFormatting sqref="J56">
    <cfRule type="expression" dxfId="481" priority="539" stopIfTrue="1">
      <formula>$J$56="P"</formula>
    </cfRule>
  </conditionalFormatting>
  <conditionalFormatting sqref="J56">
    <cfRule type="expression" dxfId="480" priority="540" stopIfTrue="1">
      <formula>$J$56="B"</formula>
    </cfRule>
  </conditionalFormatting>
  <conditionalFormatting sqref="K56">
    <cfRule type="expression" dxfId="479" priority="541" stopIfTrue="1">
      <formula>$K$56="P"</formula>
    </cfRule>
  </conditionalFormatting>
  <conditionalFormatting sqref="K56">
    <cfRule type="expression" dxfId="478" priority="542" stopIfTrue="1">
      <formula>$K$56="B"</formula>
    </cfRule>
  </conditionalFormatting>
  <conditionalFormatting sqref="L56">
    <cfRule type="expression" dxfId="477" priority="543" stopIfTrue="1">
      <formula>$L$56="P"</formula>
    </cfRule>
  </conditionalFormatting>
  <conditionalFormatting sqref="L56">
    <cfRule type="expression" dxfId="476" priority="544" stopIfTrue="1">
      <formula>$L$56="B"</formula>
    </cfRule>
  </conditionalFormatting>
  <conditionalFormatting sqref="M56">
    <cfRule type="expression" dxfId="475" priority="545" stopIfTrue="1">
      <formula>$M$56="P"</formula>
    </cfRule>
  </conditionalFormatting>
  <conditionalFormatting sqref="M56">
    <cfRule type="expression" dxfId="474" priority="546" stopIfTrue="1">
      <formula>$M$56="B"</formula>
    </cfRule>
  </conditionalFormatting>
  <conditionalFormatting sqref="N56">
    <cfRule type="expression" dxfId="473" priority="547" stopIfTrue="1">
      <formula>$N$56="P"</formula>
    </cfRule>
  </conditionalFormatting>
  <conditionalFormatting sqref="N56">
    <cfRule type="expression" dxfId="472" priority="548" stopIfTrue="1">
      <formula>$N$56="B"</formula>
    </cfRule>
  </conditionalFormatting>
  <conditionalFormatting sqref="O56">
    <cfRule type="expression" dxfId="471" priority="549" stopIfTrue="1">
      <formula>$O$56="P"</formula>
    </cfRule>
  </conditionalFormatting>
  <conditionalFormatting sqref="O56">
    <cfRule type="expression" dxfId="470" priority="550" stopIfTrue="1">
      <formula>$O$56="B"</formula>
    </cfRule>
  </conditionalFormatting>
  <conditionalFormatting sqref="P56">
    <cfRule type="expression" dxfId="469" priority="551" stopIfTrue="1">
      <formula>$P$56="P"</formula>
    </cfRule>
  </conditionalFormatting>
  <conditionalFormatting sqref="P56">
    <cfRule type="expression" dxfId="468" priority="552" stopIfTrue="1">
      <formula>$P$56="B"</formula>
    </cfRule>
  </conditionalFormatting>
  <conditionalFormatting sqref="Q56">
    <cfRule type="expression" dxfId="467" priority="553" stopIfTrue="1">
      <formula>$Q$56="P"</formula>
    </cfRule>
  </conditionalFormatting>
  <conditionalFormatting sqref="Q56">
    <cfRule type="expression" dxfId="466" priority="554" stopIfTrue="1">
      <formula>$Q$56="B"</formula>
    </cfRule>
  </conditionalFormatting>
  <conditionalFormatting sqref="R56">
    <cfRule type="expression" dxfId="465" priority="555" stopIfTrue="1">
      <formula>$R$56="P"</formula>
    </cfRule>
  </conditionalFormatting>
  <conditionalFormatting sqref="R56">
    <cfRule type="expression" dxfId="464" priority="556" stopIfTrue="1">
      <formula>$R$56="B"</formula>
    </cfRule>
  </conditionalFormatting>
  <conditionalFormatting sqref="S56">
    <cfRule type="expression" dxfId="463" priority="557" stopIfTrue="1">
      <formula>$S$56="P"</formula>
    </cfRule>
  </conditionalFormatting>
  <conditionalFormatting sqref="S56">
    <cfRule type="expression" dxfId="462" priority="558" stopIfTrue="1">
      <formula>$S$56="B"</formula>
    </cfRule>
  </conditionalFormatting>
  <conditionalFormatting sqref="T56">
    <cfRule type="expression" dxfId="461" priority="559" stopIfTrue="1">
      <formula>$T$56="P"</formula>
    </cfRule>
  </conditionalFormatting>
  <conditionalFormatting sqref="T56">
    <cfRule type="expression" dxfId="460" priority="560" stopIfTrue="1">
      <formula>$T$56="B"</formula>
    </cfRule>
  </conditionalFormatting>
  <conditionalFormatting sqref="U56">
    <cfRule type="expression" dxfId="459" priority="561" stopIfTrue="1">
      <formula>$U$56="P"</formula>
    </cfRule>
  </conditionalFormatting>
  <conditionalFormatting sqref="U56">
    <cfRule type="expression" dxfId="458" priority="562" stopIfTrue="1">
      <formula>$U$56="B"</formula>
    </cfRule>
  </conditionalFormatting>
  <conditionalFormatting sqref="V56">
    <cfRule type="expression" dxfId="457" priority="563" stopIfTrue="1">
      <formula>$V$56="P"</formula>
    </cfRule>
  </conditionalFormatting>
  <conditionalFormatting sqref="V56">
    <cfRule type="expression" dxfId="456" priority="564" stopIfTrue="1">
      <formula>$V$56="B"</formula>
    </cfRule>
  </conditionalFormatting>
  <conditionalFormatting sqref="W56">
    <cfRule type="expression" dxfId="455" priority="565" stopIfTrue="1">
      <formula>$W$56="P"</formula>
    </cfRule>
  </conditionalFormatting>
  <conditionalFormatting sqref="W56">
    <cfRule type="expression" dxfId="454" priority="566" stopIfTrue="1">
      <formula>$W$56="B"</formula>
    </cfRule>
  </conditionalFormatting>
  <conditionalFormatting sqref="N57">
    <cfRule type="expression" dxfId="453" priority="567" stopIfTrue="1">
      <formula>$N$57="P"</formula>
    </cfRule>
  </conditionalFormatting>
  <conditionalFormatting sqref="N57">
    <cfRule type="expression" dxfId="452" priority="568" stopIfTrue="1">
      <formula>$N$57="B"</formula>
    </cfRule>
  </conditionalFormatting>
  <conditionalFormatting sqref="O57">
    <cfRule type="expression" dxfId="451" priority="569" stopIfTrue="1">
      <formula>$O$57="P"</formula>
    </cfRule>
  </conditionalFormatting>
  <conditionalFormatting sqref="O57">
    <cfRule type="expression" dxfId="450" priority="570" stopIfTrue="1">
      <formula>$O$57="B"</formula>
    </cfRule>
  </conditionalFormatting>
  <conditionalFormatting sqref="P57">
    <cfRule type="expression" dxfId="449" priority="571" stopIfTrue="1">
      <formula>$P$57="P"</formula>
    </cfRule>
  </conditionalFormatting>
  <conditionalFormatting sqref="P57">
    <cfRule type="expression" dxfId="448" priority="572" stopIfTrue="1">
      <formula>$P$57="B"</formula>
    </cfRule>
  </conditionalFormatting>
  <conditionalFormatting sqref="Q57">
    <cfRule type="expression" dxfId="447" priority="573" stopIfTrue="1">
      <formula>$Q$57="P"</formula>
    </cfRule>
  </conditionalFormatting>
  <conditionalFormatting sqref="Q57">
    <cfRule type="expression" dxfId="446" priority="574" stopIfTrue="1">
      <formula>$Q$57="B"</formula>
    </cfRule>
  </conditionalFormatting>
  <conditionalFormatting sqref="R57">
    <cfRule type="expression" dxfId="445" priority="575" stopIfTrue="1">
      <formula>$R$57="P"</formula>
    </cfRule>
  </conditionalFormatting>
  <conditionalFormatting sqref="R57">
    <cfRule type="expression" dxfId="444" priority="576" stopIfTrue="1">
      <formula>$R$57="B"</formula>
    </cfRule>
  </conditionalFormatting>
  <conditionalFormatting sqref="S57">
    <cfRule type="expression" dxfId="443" priority="577" stopIfTrue="1">
      <formula>$S$57="P"</formula>
    </cfRule>
  </conditionalFormatting>
  <conditionalFormatting sqref="S57">
    <cfRule type="expression" dxfId="442" priority="578" stopIfTrue="1">
      <formula>$S$57="B"</formula>
    </cfRule>
  </conditionalFormatting>
  <conditionalFormatting sqref="T57">
    <cfRule type="expression" dxfId="441" priority="579" stopIfTrue="1">
      <formula>$T$57="P"</formula>
    </cfRule>
  </conditionalFormatting>
  <conditionalFormatting sqref="T57">
    <cfRule type="expression" dxfId="440" priority="580" stopIfTrue="1">
      <formula>$T$57="B"</formula>
    </cfRule>
  </conditionalFormatting>
  <conditionalFormatting sqref="U57">
    <cfRule type="expression" dxfId="439" priority="581" stopIfTrue="1">
      <formula>$U$57="P"</formula>
    </cfRule>
  </conditionalFormatting>
  <conditionalFormatting sqref="U57">
    <cfRule type="expression" dxfId="438" priority="582" stopIfTrue="1">
      <formula>$U$57="B"</formula>
    </cfRule>
  </conditionalFormatting>
  <conditionalFormatting sqref="V57">
    <cfRule type="expression" dxfId="437" priority="583" stopIfTrue="1">
      <formula>$V$57="P"</formula>
    </cfRule>
  </conditionalFormatting>
  <conditionalFormatting sqref="V57">
    <cfRule type="expression" dxfId="436" priority="584" stopIfTrue="1">
      <formula>$V$57="B"</formula>
    </cfRule>
  </conditionalFormatting>
  <conditionalFormatting sqref="W57">
    <cfRule type="expression" dxfId="435" priority="585" stopIfTrue="1">
      <formula>$W$57="P"</formula>
    </cfRule>
  </conditionalFormatting>
  <conditionalFormatting sqref="W57">
    <cfRule type="expression" dxfId="434" priority="586" stopIfTrue="1">
      <formula>$W$57="B"</formula>
    </cfRule>
  </conditionalFormatting>
  <conditionalFormatting sqref="X57">
    <cfRule type="expression" dxfId="433" priority="587" stopIfTrue="1">
      <formula>$X$57="P"</formula>
    </cfRule>
  </conditionalFormatting>
  <conditionalFormatting sqref="X57">
    <cfRule type="expression" dxfId="432" priority="588" stopIfTrue="1">
      <formula>$X$57="B"</formula>
    </cfRule>
  </conditionalFormatting>
  <conditionalFormatting sqref="Y57">
    <cfRule type="expression" dxfId="431" priority="589" stopIfTrue="1">
      <formula>$Y$57="P"</formula>
    </cfRule>
  </conditionalFormatting>
  <conditionalFormatting sqref="Y57">
    <cfRule type="expression" dxfId="430" priority="590" stopIfTrue="1">
      <formula>$Y$57="B"</formula>
    </cfRule>
  </conditionalFormatting>
  <conditionalFormatting sqref="Z57">
    <cfRule type="expression" dxfId="429" priority="591" stopIfTrue="1">
      <formula>$Z$57="P"</formula>
    </cfRule>
  </conditionalFormatting>
  <conditionalFormatting sqref="Z57">
    <cfRule type="expression" dxfId="428" priority="592" stopIfTrue="1">
      <formula>$Z$57="B"</formula>
    </cfRule>
  </conditionalFormatting>
  <conditionalFormatting sqref="AA57">
    <cfRule type="expression" dxfId="427" priority="593" stopIfTrue="1">
      <formula>$AA$57="P"</formula>
    </cfRule>
  </conditionalFormatting>
  <conditionalFormatting sqref="AA57">
    <cfRule type="expression" dxfId="426" priority="594" stopIfTrue="1">
      <formula>$AA$57="B"</formula>
    </cfRule>
  </conditionalFormatting>
  <conditionalFormatting sqref="AB57">
    <cfRule type="expression" dxfId="425" priority="595" stopIfTrue="1">
      <formula>$AB$57="P"</formula>
    </cfRule>
  </conditionalFormatting>
  <conditionalFormatting sqref="AB57">
    <cfRule type="expression" dxfId="424" priority="596" stopIfTrue="1">
      <formula>$AB$57="B"</formula>
    </cfRule>
  </conditionalFormatting>
  <conditionalFormatting sqref="AC57">
    <cfRule type="expression" dxfId="423" priority="597" stopIfTrue="1">
      <formula>$AC$57="P"</formula>
    </cfRule>
  </conditionalFormatting>
  <conditionalFormatting sqref="AC57">
    <cfRule type="expression" dxfId="422" priority="598" stopIfTrue="1">
      <formula>$AC$57="B"</formula>
    </cfRule>
  </conditionalFormatting>
  <conditionalFormatting sqref="AD57">
    <cfRule type="expression" dxfId="421" priority="599" stopIfTrue="1">
      <formula>$AD$57="P"</formula>
    </cfRule>
  </conditionalFormatting>
  <conditionalFormatting sqref="AD57">
    <cfRule type="expression" dxfId="420" priority="600" stopIfTrue="1">
      <formula>$AD$57="B"</formula>
    </cfRule>
  </conditionalFormatting>
  <conditionalFormatting sqref="AE57">
    <cfRule type="expression" dxfId="419" priority="601" stopIfTrue="1">
      <formula>$AE$57="P"</formula>
    </cfRule>
  </conditionalFormatting>
  <conditionalFormatting sqref="AE57">
    <cfRule type="expression" dxfId="418" priority="602" stopIfTrue="1">
      <formula>$AE$57="B"</formula>
    </cfRule>
  </conditionalFormatting>
  <conditionalFormatting sqref="AF57">
    <cfRule type="expression" dxfId="417" priority="603" stopIfTrue="1">
      <formula>$AF$57="P"</formula>
    </cfRule>
  </conditionalFormatting>
  <conditionalFormatting sqref="AF57">
    <cfRule type="expression" dxfId="416" priority="604" stopIfTrue="1">
      <formula>$AF$57="B"</formula>
    </cfRule>
  </conditionalFormatting>
  <conditionalFormatting sqref="AG57">
    <cfRule type="expression" dxfId="415" priority="605" stopIfTrue="1">
      <formula>$AG$57="P"</formula>
    </cfRule>
  </conditionalFormatting>
  <conditionalFormatting sqref="AG57">
    <cfRule type="expression" dxfId="414" priority="606" stopIfTrue="1">
      <formula>$AG$57="B"</formula>
    </cfRule>
  </conditionalFormatting>
  <conditionalFormatting sqref="X58">
    <cfRule type="expression" dxfId="413" priority="607" stopIfTrue="1">
      <formula>$X$58="P"</formula>
    </cfRule>
  </conditionalFormatting>
  <conditionalFormatting sqref="X58">
    <cfRule type="expression" dxfId="412" priority="608" stopIfTrue="1">
      <formula>$X$58="B"</formula>
    </cfRule>
  </conditionalFormatting>
  <conditionalFormatting sqref="Y58">
    <cfRule type="expression" dxfId="411" priority="609" stopIfTrue="1">
      <formula>$Y$58="P"</formula>
    </cfRule>
  </conditionalFormatting>
  <conditionalFormatting sqref="Y58">
    <cfRule type="expression" dxfId="410" priority="610" stopIfTrue="1">
      <formula>$Y$58="B"</formula>
    </cfRule>
  </conditionalFormatting>
  <conditionalFormatting sqref="Z58">
    <cfRule type="expression" dxfId="409" priority="611" stopIfTrue="1">
      <formula>$Z$58="P"</formula>
    </cfRule>
  </conditionalFormatting>
  <conditionalFormatting sqref="Z58">
    <cfRule type="expression" dxfId="408" priority="612" stopIfTrue="1">
      <formula>$Z$58="B"</formula>
    </cfRule>
  </conditionalFormatting>
  <conditionalFormatting sqref="AA58">
    <cfRule type="expression" dxfId="407" priority="613" stopIfTrue="1">
      <formula>$AA$58="P"</formula>
    </cfRule>
  </conditionalFormatting>
  <conditionalFormatting sqref="AA58">
    <cfRule type="expression" dxfId="406" priority="614" stopIfTrue="1">
      <formula>$AA$58="B"</formula>
    </cfRule>
  </conditionalFormatting>
  <conditionalFormatting sqref="AB58">
    <cfRule type="expression" dxfId="405" priority="615" stopIfTrue="1">
      <formula>$AB$58="P"</formula>
    </cfRule>
  </conditionalFormatting>
  <conditionalFormatting sqref="AB58">
    <cfRule type="expression" dxfId="404" priority="616" stopIfTrue="1">
      <formula>$AB$58="B"</formula>
    </cfRule>
  </conditionalFormatting>
  <conditionalFormatting sqref="AC58">
    <cfRule type="expression" dxfId="403" priority="617" stopIfTrue="1">
      <formula>$AC$58="P"</formula>
    </cfRule>
  </conditionalFormatting>
  <conditionalFormatting sqref="AC58">
    <cfRule type="expression" dxfId="402" priority="618" stopIfTrue="1">
      <formula>$AC$58="B"</formula>
    </cfRule>
  </conditionalFormatting>
  <conditionalFormatting sqref="AD58">
    <cfRule type="expression" dxfId="401" priority="619" stopIfTrue="1">
      <formula>$AD$58="P"</formula>
    </cfRule>
  </conditionalFormatting>
  <conditionalFormatting sqref="AD58">
    <cfRule type="expression" dxfId="400" priority="620" stopIfTrue="1">
      <formula>$AD$58="B"</formula>
    </cfRule>
  </conditionalFormatting>
  <conditionalFormatting sqref="AE58">
    <cfRule type="expression" dxfId="399" priority="621" stopIfTrue="1">
      <formula>$AE$58="P"</formula>
    </cfRule>
  </conditionalFormatting>
  <conditionalFormatting sqref="AE58">
    <cfRule type="expression" dxfId="398" priority="622" stopIfTrue="1">
      <formula>$AE$58="B"</formula>
    </cfRule>
  </conditionalFormatting>
  <conditionalFormatting sqref="AF58">
    <cfRule type="expression" dxfId="397" priority="623" stopIfTrue="1">
      <formula>$AF$58="P"</formula>
    </cfRule>
  </conditionalFormatting>
  <conditionalFormatting sqref="AF58">
    <cfRule type="expression" dxfId="396" priority="624" stopIfTrue="1">
      <formula>$AF$58="B"</formula>
    </cfRule>
  </conditionalFormatting>
  <conditionalFormatting sqref="AG58">
    <cfRule type="expression" dxfId="395" priority="625" stopIfTrue="1">
      <formula>$AG$58="P"</formula>
    </cfRule>
  </conditionalFormatting>
  <conditionalFormatting sqref="AG58">
    <cfRule type="expression" dxfId="394" priority="626" stopIfTrue="1">
      <formula>$AG$58="B"</formula>
    </cfRule>
  </conditionalFormatting>
  <conditionalFormatting sqref="AH58">
    <cfRule type="expression" dxfId="393" priority="627" stopIfTrue="1">
      <formula>$AH$58="P"</formula>
    </cfRule>
  </conditionalFormatting>
  <conditionalFormatting sqref="AH58">
    <cfRule type="expression" dxfId="392" priority="628" stopIfTrue="1">
      <formula>$AH$58="B"</formula>
    </cfRule>
  </conditionalFormatting>
  <conditionalFormatting sqref="AI58">
    <cfRule type="expression" dxfId="391" priority="629" stopIfTrue="1">
      <formula>$AI$58="P"</formula>
    </cfRule>
  </conditionalFormatting>
  <conditionalFormatting sqref="AI58">
    <cfRule type="expression" dxfId="390" priority="630" stopIfTrue="1">
      <formula>$AI$58="B"</formula>
    </cfRule>
  </conditionalFormatting>
  <conditionalFormatting sqref="AJ58">
    <cfRule type="expression" dxfId="389" priority="631" stopIfTrue="1">
      <formula>$AJ$58="P"</formula>
    </cfRule>
  </conditionalFormatting>
  <conditionalFormatting sqref="AJ58">
    <cfRule type="expression" dxfId="388" priority="632" stopIfTrue="1">
      <formula>$AJ$58="B"</formula>
    </cfRule>
  </conditionalFormatting>
  <conditionalFormatting sqref="AK58">
    <cfRule type="expression" dxfId="387" priority="633" stopIfTrue="1">
      <formula>$AK$58="P"</formula>
    </cfRule>
  </conditionalFormatting>
  <conditionalFormatting sqref="AK58">
    <cfRule type="expression" dxfId="386" priority="634" stopIfTrue="1">
      <formula>$AK$58="B"</formula>
    </cfRule>
  </conditionalFormatting>
  <conditionalFormatting sqref="AL58">
    <cfRule type="expression" dxfId="385" priority="635" stopIfTrue="1">
      <formula>$AL$58="P"</formula>
    </cfRule>
  </conditionalFormatting>
  <conditionalFormatting sqref="AL58">
    <cfRule type="expression" dxfId="384" priority="636" stopIfTrue="1">
      <formula>$AL$58="B"</formula>
    </cfRule>
  </conditionalFormatting>
  <conditionalFormatting sqref="AM58">
    <cfRule type="expression" dxfId="383" priority="637" stopIfTrue="1">
      <formula>$AM$58="P"</formula>
    </cfRule>
  </conditionalFormatting>
  <conditionalFormatting sqref="AM58">
    <cfRule type="expression" dxfId="382" priority="638" stopIfTrue="1">
      <formula>$AM$58="B"</formula>
    </cfRule>
  </conditionalFormatting>
  <conditionalFormatting sqref="AN58">
    <cfRule type="expression" dxfId="381" priority="639" stopIfTrue="1">
      <formula>$AN$58="P"</formula>
    </cfRule>
  </conditionalFormatting>
  <conditionalFormatting sqref="AN58">
    <cfRule type="expression" dxfId="380" priority="640" stopIfTrue="1">
      <formula>$AN$58="B"</formula>
    </cfRule>
  </conditionalFormatting>
  <conditionalFormatting sqref="AO58">
    <cfRule type="expression" dxfId="379" priority="641" stopIfTrue="1">
      <formula>$AO$58="P"</formula>
    </cfRule>
  </conditionalFormatting>
  <conditionalFormatting sqref="AO58">
    <cfRule type="expression" dxfId="378" priority="642" stopIfTrue="1">
      <formula>$AO$58="B"</formula>
    </cfRule>
  </conditionalFormatting>
  <conditionalFormatting sqref="AP58">
    <cfRule type="expression" dxfId="377" priority="643" stopIfTrue="1">
      <formula>$AP$58="P"</formula>
    </cfRule>
  </conditionalFormatting>
  <conditionalFormatting sqref="AP58">
    <cfRule type="expression" dxfId="376" priority="644" stopIfTrue="1">
      <formula>$AP$58="B"</formula>
    </cfRule>
  </conditionalFormatting>
  <conditionalFormatting sqref="AQ58">
    <cfRule type="expression" dxfId="375" priority="645" stopIfTrue="1">
      <formula>$AQ$58="P"</formula>
    </cfRule>
  </conditionalFormatting>
  <conditionalFormatting sqref="AQ58">
    <cfRule type="expression" dxfId="374" priority="646" stopIfTrue="1">
      <formula>$AQ$58="B"</formula>
    </cfRule>
  </conditionalFormatting>
  <conditionalFormatting sqref="AH59">
    <cfRule type="expression" dxfId="373" priority="647" stopIfTrue="1">
      <formula>$AH$59="P"</formula>
    </cfRule>
  </conditionalFormatting>
  <conditionalFormatting sqref="AH59">
    <cfRule type="expression" dxfId="372" priority="648" stopIfTrue="1">
      <formula>$AH$59="B"</formula>
    </cfRule>
  </conditionalFormatting>
  <conditionalFormatting sqref="AI59">
    <cfRule type="expression" dxfId="371" priority="649" stopIfTrue="1">
      <formula>$AI$59="P"</formula>
    </cfRule>
  </conditionalFormatting>
  <conditionalFormatting sqref="AI59">
    <cfRule type="expression" dxfId="370" priority="650" stopIfTrue="1">
      <formula>$AI$59="B"</formula>
    </cfRule>
  </conditionalFormatting>
  <conditionalFormatting sqref="AJ59">
    <cfRule type="expression" dxfId="369" priority="651" stopIfTrue="1">
      <formula>$AJ$59="P"</formula>
    </cfRule>
  </conditionalFormatting>
  <conditionalFormatting sqref="AJ59">
    <cfRule type="expression" dxfId="368" priority="652" stopIfTrue="1">
      <formula>$AJ$59="B"</formula>
    </cfRule>
  </conditionalFormatting>
  <conditionalFormatting sqref="AK59">
    <cfRule type="expression" dxfId="367" priority="653" stopIfTrue="1">
      <formula>$AK$59="P"</formula>
    </cfRule>
  </conditionalFormatting>
  <conditionalFormatting sqref="AK59">
    <cfRule type="expression" dxfId="366" priority="654" stopIfTrue="1">
      <formula>$AK$59="B"</formula>
    </cfRule>
  </conditionalFormatting>
  <conditionalFormatting sqref="AL59">
    <cfRule type="expression" dxfId="365" priority="655" stopIfTrue="1">
      <formula>$AL$59="P"</formula>
    </cfRule>
  </conditionalFormatting>
  <conditionalFormatting sqref="AL59">
    <cfRule type="expression" dxfId="364" priority="656" stopIfTrue="1">
      <formula>$AL$59="B"</formula>
    </cfRule>
  </conditionalFormatting>
  <conditionalFormatting sqref="AM59">
    <cfRule type="expression" dxfId="363" priority="657" stopIfTrue="1">
      <formula>$AM$59="P"</formula>
    </cfRule>
  </conditionalFormatting>
  <conditionalFormatting sqref="AM59">
    <cfRule type="expression" dxfId="362" priority="658" stopIfTrue="1">
      <formula>$AM$59="B"</formula>
    </cfRule>
  </conditionalFormatting>
  <conditionalFormatting sqref="AN59">
    <cfRule type="expression" dxfId="361" priority="659" stopIfTrue="1">
      <formula>$AN$59="P"</formula>
    </cfRule>
  </conditionalFormatting>
  <conditionalFormatting sqref="AN59">
    <cfRule type="expression" dxfId="360" priority="660" stopIfTrue="1">
      <formula>$AN$59="B"</formula>
    </cfRule>
  </conditionalFormatting>
  <conditionalFormatting sqref="AO59">
    <cfRule type="expression" dxfId="359" priority="661" stopIfTrue="1">
      <formula>$AO$59="P"</formula>
    </cfRule>
  </conditionalFormatting>
  <conditionalFormatting sqref="AO59">
    <cfRule type="expression" dxfId="358" priority="662" stopIfTrue="1">
      <formula>$AO$59="B"</formula>
    </cfRule>
  </conditionalFormatting>
  <conditionalFormatting sqref="AP59">
    <cfRule type="expression" dxfId="357" priority="663" stopIfTrue="1">
      <formula>$AP$59="P"</formula>
    </cfRule>
  </conditionalFormatting>
  <conditionalFormatting sqref="AP59">
    <cfRule type="expression" dxfId="356" priority="664" stopIfTrue="1">
      <formula>$AP$59="B"</formula>
    </cfRule>
  </conditionalFormatting>
  <conditionalFormatting sqref="AQ59">
    <cfRule type="expression" dxfId="355" priority="665" stopIfTrue="1">
      <formula>$AQ$59="P"</formula>
    </cfRule>
  </conditionalFormatting>
  <conditionalFormatting sqref="AQ59">
    <cfRule type="expression" dxfId="354" priority="666" stopIfTrue="1">
      <formula>$AQ$59="B"</formula>
    </cfRule>
  </conditionalFormatting>
  <conditionalFormatting sqref="AR59">
    <cfRule type="expression" dxfId="353" priority="667" stopIfTrue="1">
      <formula>$AR$59="P"</formula>
    </cfRule>
  </conditionalFormatting>
  <conditionalFormatting sqref="AR59">
    <cfRule type="expression" dxfId="352" priority="668" stopIfTrue="1">
      <formula>$AR$59="B"</formula>
    </cfRule>
  </conditionalFormatting>
  <conditionalFormatting sqref="AS59">
    <cfRule type="expression" dxfId="351" priority="669" stopIfTrue="1">
      <formula>$AS$59="P"</formula>
    </cfRule>
  </conditionalFormatting>
  <conditionalFormatting sqref="AS59">
    <cfRule type="expression" dxfId="350" priority="670" stopIfTrue="1">
      <formula>$AS$59="B"</formula>
    </cfRule>
  </conditionalFormatting>
  <conditionalFormatting sqref="AT59">
    <cfRule type="expression" dxfId="349" priority="671" stopIfTrue="1">
      <formula>$AT$59="P"</formula>
    </cfRule>
  </conditionalFormatting>
  <conditionalFormatting sqref="AT59">
    <cfRule type="expression" dxfId="348" priority="672" stopIfTrue="1">
      <formula>$AT$59="B"</formula>
    </cfRule>
  </conditionalFormatting>
  <conditionalFormatting sqref="AU59">
    <cfRule type="expression" dxfId="347" priority="673" stopIfTrue="1">
      <formula>$AU$59="P"</formula>
    </cfRule>
  </conditionalFormatting>
  <conditionalFormatting sqref="AU59">
    <cfRule type="expression" dxfId="346" priority="674" stopIfTrue="1">
      <formula>$AU$59="B"</formula>
    </cfRule>
  </conditionalFormatting>
  <conditionalFormatting sqref="AV59">
    <cfRule type="expression" dxfId="345" priority="675" stopIfTrue="1">
      <formula>$AV$59="P"</formula>
    </cfRule>
  </conditionalFormatting>
  <conditionalFormatting sqref="AV59">
    <cfRule type="expression" dxfId="344" priority="676" stopIfTrue="1">
      <formula>$AV$59="B"</formula>
    </cfRule>
  </conditionalFormatting>
  <conditionalFormatting sqref="AW59">
    <cfRule type="expression" dxfId="343" priority="677" stopIfTrue="1">
      <formula>$AW$59="P"</formula>
    </cfRule>
  </conditionalFormatting>
  <conditionalFormatting sqref="AW59">
    <cfRule type="expression" dxfId="342" priority="678" stopIfTrue="1">
      <formula>$AW$59="B"</formula>
    </cfRule>
  </conditionalFormatting>
  <conditionalFormatting sqref="AX59">
    <cfRule type="expression" dxfId="341" priority="679" stopIfTrue="1">
      <formula>$AX$59="P"</formula>
    </cfRule>
  </conditionalFormatting>
  <conditionalFormatting sqref="AX59">
    <cfRule type="expression" dxfId="340" priority="680" stopIfTrue="1">
      <formula>$AX$59="B"</formula>
    </cfRule>
  </conditionalFormatting>
  <conditionalFormatting sqref="AY59">
    <cfRule type="expression" dxfId="339" priority="681" stopIfTrue="1">
      <formula>$AY$59="P"</formula>
    </cfRule>
  </conditionalFormatting>
  <conditionalFormatting sqref="AY59">
    <cfRule type="expression" dxfId="338" priority="682" stopIfTrue="1">
      <formula>$AY$59="B"</formula>
    </cfRule>
  </conditionalFormatting>
  <conditionalFormatting sqref="AZ59">
    <cfRule type="expression" dxfId="337" priority="683" stopIfTrue="1">
      <formula>$AZ$59="P"</formula>
    </cfRule>
  </conditionalFormatting>
  <conditionalFormatting sqref="AZ59">
    <cfRule type="expression" dxfId="336" priority="684" stopIfTrue="1">
      <formula>$AZ$59="B"</formula>
    </cfRule>
  </conditionalFormatting>
  <conditionalFormatting sqref="BA59">
    <cfRule type="expression" dxfId="335" priority="685" stopIfTrue="1">
      <formula>$BA$59="P"</formula>
    </cfRule>
  </conditionalFormatting>
  <conditionalFormatting sqref="BA59">
    <cfRule type="expression" dxfId="334" priority="686" stopIfTrue="1">
      <formula>$BA$59="B"</formula>
    </cfRule>
  </conditionalFormatting>
  <conditionalFormatting sqref="AR60">
    <cfRule type="expression" dxfId="333" priority="687" stopIfTrue="1">
      <formula>$AR$60="P"</formula>
    </cfRule>
  </conditionalFormatting>
  <conditionalFormatting sqref="AR60">
    <cfRule type="expression" dxfId="332" priority="688" stopIfTrue="1">
      <formula>$AR$60="B"</formula>
    </cfRule>
  </conditionalFormatting>
  <conditionalFormatting sqref="AS60">
    <cfRule type="expression" dxfId="331" priority="689" stopIfTrue="1">
      <formula>$AS$60="P"</formula>
    </cfRule>
  </conditionalFormatting>
  <conditionalFormatting sqref="AS60">
    <cfRule type="expression" dxfId="330" priority="690" stopIfTrue="1">
      <formula>$AS$60="B"</formula>
    </cfRule>
  </conditionalFormatting>
  <conditionalFormatting sqref="AT60">
    <cfRule type="expression" dxfId="329" priority="691" stopIfTrue="1">
      <formula>$AT$60="P"</formula>
    </cfRule>
  </conditionalFormatting>
  <conditionalFormatting sqref="AT60">
    <cfRule type="expression" dxfId="328" priority="692" stopIfTrue="1">
      <formula>$AT$60="B"</formula>
    </cfRule>
  </conditionalFormatting>
  <conditionalFormatting sqref="AU60">
    <cfRule type="expression" dxfId="327" priority="693" stopIfTrue="1">
      <formula>$AU$60="P"</formula>
    </cfRule>
  </conditionalFormatting>
  <conditionalFormatting sqref="AU60">
    <cfRule type="expression" dxfId="326" priority="694" stopIfTrue="1">
      <formula>$AU$60="B"</formula>
    </cfRule>
  </conditionalFormatting>
  <conditionalFormatting sqref="AV60">
    <cfRule type="expression" dxfId="325" priority="695" stopIfTrue="1">
      <formula>$AV$60="P"</formula>
    </cfRule>
  </conditionalFormatting>
  <conditionalFormatting sqref="AV60">
    <cfRule type="expression" dxfId="324" priority="696" stopIfTrue="1">
      <formula>$AV$60="B"</formula>
    </cfRule>
  </conditionalFormatting>
  <conditionalFormatting sqref="AW60">
    <cfRule type="expression" dxfId="323" priority="697" stopIfTrue="1">
      <formula>$AW$60="P"</formula>
    </cfRule>
  </conditionalFormatting>
  <conditionalFormatting sqref="AW60">
    <cfRule type="expression" dxfId="322" priority="698" stopIfTrue="1">
      <formula>$AW$60="B"</formula>
    </cfRule>
  </conditionalFormatting>
  <conditionalFormatting sqref="AX60">
    <cfRule type="expression" dxfId="321" priority="699" stopIfTrue="1">
      <formula>$AX$60="P"</formula>
    </cfRule>
  </conditionalFormatting>
  <conditionalFormatting sqref="AX60">
    <cfRule type="expression" dxfId="320" priority="700" stopIfTrue="1">
      <formula>$AX$60="B"</formula>
    </cfRule>
  </conditionalFormatting>
  <conditionalFormatting sqref="AY60">
    <cfRule type="expression" dxfId="319" priority="701" stopIfTrue="1">
      <formula>$AY$60="P"</formula>
    </cfRule>
  </conditionalFormatting>
  <conditionalFormatting sqref="AY60">
    <cfRule type="expression" dxfId="318" priority="702" stopIfTrue="1">
      <formula>$AY$60="B"</formula>
    </cfRule>
  </conditionalFormatting>
  <conditionalFormatting sqref="AZ60">
    <cfRule type="expression" dxfId="317" priority="703" stopIfTrue="1">
      <formula>$AZ$60="P"</formula>
    </cfRule>
  </conditionalFormatting>
  <conditionalFormatting sqref="AZ60">
    <cfRule type="expression" dxfId="316" priority="704" stopIfTrue="1">
      <formula>$AZ$60="B"</formula>
    </cfRule>
  </conditionalFormatting>
  <conditionalFormatting sqref="BA60">
    <cfRule type="expression" dxfId="315" priority="705" stopIfTrue="1">
      <formula>$BA$60="P"</formula>
    </cfRule>
  </conditionalFormatting>
  <conditionalFormatting sqref="BA60">
    <cfRule type="expression" dxfId="314" priority="706" stopIfTrue="1">
      <formula>$BA$60="B"</formula>
    </cfRule>
  </conditionalFormatting>
  <conditionalFormatting sqref="BB60">
    <cfRule type="expression" dxfId="313" priority="707" stopIfTrue="1">
      <formula>$BB$60="P"</formula>
    </cfRule>
  </conditionalFormatting>
  <conditionalFormatting sqref="BB60">
    <cfRule type="expression" dxfId="312" priority="708" stopIfTrue="1">
      <formula>$BB$60="B"</formula>
    </cfRule>
  </conditionalFormatting>
  <conditionalFormatting sqref="BC60">
    <cfRule type="expression" dxfId="311" priority="709" stopIfTrue="1">
      <formula>$BC$60="P"</formula>
    </cfRule>
  </conditionalFormatting>
  <conditionalFormatting sqref="BC60">
    <cfRule type="expression" dxfId="310" priority="710" stopIfTrue="1">
      <formula>$BC$60="B"</formula>
    </cfRule>
  </conditionalFormatting>
  <conditionalFormatting sqref="BD60">
    <cfRule type="expression" dxfId="309" priority="711" stopIfTrue="1">
      <formula>$BD$60="P"</formula>
    </cfRule>
  </conditionalFormatting>
  <conditionalFormatting sqref="BD60">
    <cfRule type="expression" dxfId="308" priority="712" stopIfTrue="1">
      <formula>$BD$60="B"</formula>
    </cfRule>
  </conditionalFormatting>
  <conditionalFormatting sqref="BE60">
    <cfRule type="expression" dxfId="307" priority="713" stopIfTrue="1">
      <formula>$BE$60="P"</formula>
    </cfRule>
  </conditionalFormatting>
  <conditionalFormatting sqref="BE60">
    <cfRule type="expression" dxfId="306" priority="714" stopIfTrue="1">
      <formula>$BE$60="B"</formula>
    </cfRule>
  </conditionalFormatting>
  <conditionalFormatting sqref="BF60">
    <cfRule type="expression" dxfId="305" priority="715" stopIfTrue="1">
      <formula>$BF$60="P"</formula>
    </cfRule>
  </conditionalFormatting>
  <conditionalFormatting sqref="BF60">
    <cfRule type="expression" dxfId="304" priority="716" stopIfTrue="1">
      <formula>$BF$60="B"</formula>
    </cfRule>
  </conditionalFormatting>
  <conditionalFormatting sqref="BG60">
    <cfRule type="expression" dxfId="303" priority="717" stopIfTrue="1">
      <formula>$BG$60="P"</formula>
    </cfRule>
  </conditionalFormatting>
  <conditionalFormatting sqref="BG60">
    <cfRule type="expression" dxfId="302" priority="718" stopIfTrue="1">
      <formula>$BG$60="B"</formula>
    </cfRule>
  </conditionalFormatting>
  <conditionalFormatting sqref="BH60">
    <cfRule type="expression" dxfId="301" priority="719" stopIfTrue="1">
      <formula>$BH$60="P"</formula>
    </cfRule>
  </conditionalFormatting>
  <conditionalFormatting sqref="BH60">
    <cfRule type="expression" dxfId="300" priority="720" stopIfTrue="1">
      <formula>$BH$60="B"</formula>
    </cfRule>
  </conditionalFormatting>
  <conditionalFormatting sqref="BI60">
    <cfRule type="expression" dxfId="299" priority="721" stopIfTrue="1">
      <formula>$BI$60="P"</formula>
    </cfRule>
  </conditionalFormatting>
  <conditionalFormatting sqref="BI60">
    <cfRule type="expression" dxfId="298" priority="722" stopIfTrue="1">
      <formula>$BI$60="B"</formula>
    </cfRule>
  </conditionalFormatting>
  <conditionalFormatting sqref="BJ60">
    <cfRule type="expression" dxfId="297" priority="723" stopIfTrue="1">
      <formula>$BJ$60="P"</formula>
    </cfRule>
  </conditionalFormatting>
  <conditionalFormatting sqref="BJ60">
    <cfRule type="expression" dxfId="296" priority="724" stopIfTrue="1">
      <formula>$BJ$60="B"</formula>
    </cfRule>
  </conditionalFormatting>
  <conditionalFormatting sqref="BK60">
    <cfRule type="expression" dxfId="295" priority="725" stopIfTrue="1">
      <formula>$BK$60="P"</formula>
    </cfRule>
  </conditionalFormatting>
  <conditionalFormatting sqref="BK60">
    <cfRule type="expression" dxfId="294" priority="726" stopIfTrue="1">
      <formula>$BK$60="B"</formula>
    </cfRule>
  </conditionalFormatting>
  <conditionalFormatting sqref="BB61">
    <cfRule type="expression" dxfId="293" priority="727" stopIfTrue="1">
      <formula>$BB$61="P"</formula>
    </cfRule>
  </conditionalFormatting>
  <conditionalFormatting sqref="BB61">
    <cfRule type="expression" dxfId="292" priority="728" stopIfTrue="1">
      <formula>$BB$61="B"</formula>
    </cfRule>
  </conditionalFormatting>
  <conditionalFormatting sqref="BC61">
    <cfRule type="expression" dxfId="291" priority="729" stopIfTrue="1">
      <formula>$BC$61="P"</formula>
    </cfRule>
  </conditionalFormatting>
  <conditionalFormatting sqref="BC61">
    <cfRule type="expression" dxfId="290" priority="730" stopIfTrue="1">
      <formula>$BC$61="B"</formula>
    </cfRule>
  </conditionalFormatting>
  <conditionalFormatting sqref="BD61">
    <cfRule type="expression" dxfId="289" priority="731" stopIfTrue="1">
      <formula>$BD$61="P"</formula>
    </cfRule>
  </conditionalFormatting>
  <conditionalFormatting sqref="BD61">
    <cfRule type="expression" dxfId="288" priority="732" stopIfTrue="1">
      <formula>$BD$61="B"</formula>
    </cfRule>
  </conditionalFormatting>
  <conditionalFormatting sqref="BE61">
    <cfRule type="expression" dxfId="287" priority="733" stopIfTrue="1">
      <formula>$BE$61="P"</formula>
    </cfRule>
  </conditionalFormatting>
  <conditionalFormatting sqref="BE61">
    <cfRule type="expression" dxfId="286" priority="734" stopIfTrue="1">
      <formula>$BE$61="B"</formula>
    </cfRule>
  </conditionalFormatting>
  <conditionalFormatting sqref="BF61">
    <cfRule type="expression" dxfId="285" priority="735" stopIfTrue="1">
      <formula>$BF$61="P"</formula>
    </cfRule>
  </conditionalFormatting>
  <conditionalFormatting sqref="BF61">
    <cfRule type="expression" dxfId="284" priority="736" stopIfTrue="1">
      <formula>$BF$61="B"</formula>
    </cfRule>
  </conditionalFormatting>
  <conditionalFormatting sqref="BG61">
    <cfRule type="expression" dxfId="283" priority="737" stopIfTrue="1">
      <formula>$BG$61="P"</formula>
    </cfRule>
  </conditionalFormatting>
  <conditionalFormatting sqref="BG61">
    <cfRule type="expression" dxfId="282" priority="738" stopIfTrue="1">
      <formula>$BG$61="B"</formula>
    </cfRule>
  </conditionalFormatting>
  <conditionalFormatting sqref="BH61">
    <cfRule type="expression" dxfId="281" priority="739" stopIfTrue="1">
      <formula>$BH$61="P"</formula>
    </cfRule>
  </conditionalFormatting>
  <conditionalFormatting sqref="BH61">
    <cfRule type="expression" dxfId="280" priority="740" stopIfTrue="1">
      <formula>$BH$61="B"</formula>
    </cfRule>
  </conditionalFormatting>
  <conditionalFormatting sqref="BI61">
    <cfRule type="expression" dxfId="279" priority="741" stopIfTrue="1">
      <formula>$BI$61="P"</formula>
    </cfRule>
  </conditionalFormatting>
  <conditionalFormatting sqref="BI61">
    <cfRule type="expression" dxfId="278" priority="742" stopIfTrue="1">
      <formula>$BI$61="B"</formula>
    </cfRule>
  </conditionalFormatting>
  <conditionalFormatting sqref="BJ61">
    <cfRule type="expression" dxfId="277" priority="743" stopIfTrue="1">
      <formula>$BJ$61="P"</formula>
    </cfRule>
  </conditionalFormatting>
  <conditionalFormatting sqref="BJ61">
    <cfRule type="expression" dxfId="276" priority="744" stopIfTrue="1">
      <formula>$BJ$61="B"</formula>
    </cfRule>
  </conditionalFormatting>
  <conditionalFormatting sqref="BK61">
    <cfRule type="expression" dxfId="275" priority="745" stopIfTrue="1">
      <formula>$BK$61="P"</formula>
    </cfRule>
  </conditionalFormatting>
  <conditionalFormatting sqref="BK61">
    <cfRule type="expression" dxfId="274" priority="746" stopIfTrue="1">
      <formula>$BK$61="B"</formula>
    </cfRule>
  </conditionalFormatting>
  <conditionalFormatting sqref="D61">
    <cfRule type="expression" dxfId="273" priority="747" stopIfTrue="1">
      <formula>$D$61="P"</formula>
    </cfRule>
  </conditionalFormatting>
  <conditionalFormatting sqref="D61">
    <cfRule type="expression" dxfId="272" priority="748" stopIfTrue="1">
      <formula>$D$61="B"</formula>
    </cfRule>
  </conditionalFormatting>
  <conditionalFormatting sqref="E61">
    <cfRule type="expression" dxfId="271" priority="749" stopIfTrue="1">
      <formula>$E$61="P"</formula>
    </cfRule>
  </conditionalFormatting>
  <conditionalFormatting sqref="E61">
    <cfRule type="expression" dxfId="270" priority="750" stopIfTrue="1">
      <formula>$E$61="B"</formula>
    </cfRule>
  </conditionalFormatting>
  <conditionalFormatting sqref="F61">
    <cfRule type="expression" dxfId="269" priority="751" stopIfTrue="1">
      <formula>$F$61="P"</formula>
    </cfRule>
  </conditionalFormatting>
  <conditionalFormatting sqref="F61">
    <cfRule type="expression" dxfId="268" priority="752" stopIfTrue="1">
      <formula>$F$61="B"</formula>
    </cfRule>
  </conditionalFormatting>
  <conditionalFormatting sqref="G61">
    <cfRule type="expression" dxfId="267" priority="753" stopIfTrue="1">
      <formula>$G$61="P"</formula>
    </cfRule>
  </conditionalFormatting>
  <conditionalFormatting sqref="G61">
    <cfRule type="expression" dxfId="266" priority="754" stopIfTrue="1">
      <formula>$G$61="B"</formula>
    </cfRule>
  </conditionalFormatting>
  <conditionalFormatting sqref="H61">
    <cfRule type="expression" dxfId="265" priority="755" stopIfTrue="1">
      <formula>$H$61="P"</formula>
    </cfRule>
  </conditionalFormatting>
  <conditionalFormatting sqref="H61">
    <cfRule type="expression" dxfId="264" priority="756" stopIfTrue="1">
      <formula>$H$61="B"</formula>
    </cfRule>
  </conditionalFormatting>
  <conditionalFormatting sqref="I61">
    <cfRule type="expression" dxfId="263" priority="757" stopIfTrue="1">
      <formula>$I$61="P"</formula>
    </cfRule>
  </conditionalFormatting>
  <conditionalFormatting sqref="I61">
    <cfRule type="expression" dxfId="262" priority="758" stopIfTrue="1">
      <formula>$I$61="B"</formula>
    </cfRule>
  </conditionalFormatting>
  <conditionalFormatting sqref="J61">
    <cfRule type="expression" dxfId="261" priority="759" stopIfTrue="1">
      <formula>$J$61="P"</formula>
    </cfRule>
  </conditionalFormatting>
  <conditionalFormatting sqref="J61">
    <cfRule type="expression" dxfId="260" priority="760" stopIfTrue="1">
      <formula>$J$61="B"</formula>
    </cfRule>
  </conditionalFormatting>
  <conditionalFormatting sqref="K61">
    <cfRule type="expression" dxfId="259" priority="761" stopIfTrue="1">
      <formula>$K$61="P"</formula>
    </cfRule>
  </conditionalFormatting>
  <conditionalFormatting sqref="K61">
    <cfRule type="expression" dxfId="258" priority="762" stopIfTrue="1">
      <formula>$K$61="B"</formula>
    </cfRule>
  </conditionalFormatting>
  <conditionalFormatting sqref="L61">
    <cfRule type="expression" dxfId="257" priority="763" stopIfTrue="1">
      <formula>$L$61="P"</formula>
    </cfRule>
  </conditionalFormatting>
  <conditionalFormatting sqref="L61">
    <cfRule type="expression" dxfId="256" priority="764" stopIfTrue="1">
      <formula>$L$61="B"</formula>
    </cfRule>
  </conditionalFormatting>
  <conditionalFormatting sqref="M61">
    <cfRule type="expression" dxfId="255" priority="765" stopIfTrue="1">
      <formula>$M$61="P"</formula>
    </cfRule>
  </conditionalFormatting>
  <conditionalFormatting sqref="M61">
    <cfRule type="expression" dxfId="254" priority="766" stopIfTrue="1">
      <formula>$M$61="B"</formula>
    </cfRule>
  </conditionalFormatting>
  <conditionalFormatting sqref="D62:BK62">
    <cfRule type="iconSet" priority="2">
      <iconSet iconSet="3Symbols2" showValue="0">
        <cfvo type="percent" val="0"/>
        <cfvo type="percent" val="33"/>
        <cfvo type="num" val="0" gte="0"/>
      </iconSet>
    </cfRule>
  </conditionalFormatting>
  <conditionalFormatting sqref="B81">
    <cfRule type="expression" dxfId="253" priority="769" stopIfTrue="1">
      <formula>$C$81="running"</formula>
    </cfRule>
  </conditionalFormatting>
  <conditionalFormatting sqref="B81">
    <cfRule type="expression" dxfId="252" priority="770" stopIfTrue="1">
      <formula>$C$81="failing"</formula>
    </cfRule>
  </conditionalFormatting>
  <conditionalFormatting sqref="B82">
    <cfRule type="expression" dxfId="251" priority="771" stopIfTrue="1">
      <formula>$C$82="running"</formula>
    </cfRule>
  </conditionalFormatting>
  <conditionalFormatting sqref="B82">
    <cfRule type="expression" dxfId="250" priority="772" stopIfTrue="1">
      <formula>$C$82="failing"</formula>
    </cfRule>
  </conditionalFormatting>
  <conditionalFormatting sqref="B83">
    <cfRule type="expression" dxfId="249" priority="773" stopIfTrue="1">
      <formula>$C$83="running"</formula>
    </cfRule>
  </conditionalFormatting>
  <conditionalFormatting sqref="B83">
    <cfRule type="expression" dxfId="248" priority="774" stopIfTrue="1">
      <formula>$C$83="failing"</formula>
    </cfRule>
  </conditionalFormatting>
  <conditionalFormatting sqref="B84">
    <cfRule type="expression" dxfId="247" priority="775" stopIfTrue="1">
      <formula>$C$84="running"</formula>
    </cfRule>
  </conditionalFormatting>
  <conditionalFormatting sqref="B84">
    <cfRule type="expression" dxfId="246" priority="776" stopIfTrue="1">
      <formula>$C$84="failing"</formula>
    </cfRule>
  </conditionalFormatting>
  <conditionalFormatting sqref="B85">
    <cfRule type="expression" dxfId="245" priority="777" stopIfTrue="1">
      <formula>$C$85="running"</formula>
    </cfRule>
  </conditionalFormatting>
  <conditionalFormatting sqref="B85">
    <cfRule type="expression" dxfId="244" priority="778" stopIfTrue="1">
      <formula>$C$85="failing"</formula>
    </cfRule>
  </conditionalFormatting>
  <conditionalFormatting sqref="B86">
    <cfRule type="expression" dxfId="243" priority="779" stopIfTrue="1">
      <formula>$C$86="running"</formula>
    </cfRule>
  </conditionalFormatting>
  <conditionalFormatting sqref="B86">
    <cfRule type="expression" dxfId="242" priority="780" stopIfTrue="1">
      <formula>$C$86="failing"</formula>
    </cfRule>
  </conditionalFormatting>
  <conditionalFormatting sqref="D81">
    <cfRule type="expression" dxfId="241" priority="781" stopIfTrue="1">
      <formula>$D$81="P"</formula>
    </cfRule>
  </conditionalFormatting>
  <conditionalFormatting sqref="D81">
    <cfRule type="expression" dxfId="240" priority="782" stopIfTrue="1">
      <formula>$D$81="B"</formula>
    </cfRule>
  </conditionalFormatting>
  <conditionalFormatting sqref="E81">
    <cfRule type="expression" dxfId="239" priority="783" stopIfTrue="1">
      <formula>$E$81="P"</formula>
    </cfRule>
  </conditionalFormatting>
  <conditionalFormatting sqref="E81">
    <cfRule type="expression" dxfId="238" priority="784" stopIfTrue="1">
      <formula>$E$81="B"</formula>
    </cfRule>
  </conditionalFormatting>
  <conditionalFormatting sqref="F81">
    <cfRule type="expression" dxfId="237" priority="785" stopIfTrue="1">
      <formula>$F$81="P"</formula>
    </cfRule>
  </conditionalFormatting>
  <conditionalFormatting sqref="F81">
    <cfRule type="expression" dxfId="236" priority="786" stopIfTrue="1">
      <formula>$F$81="B"</formula>
    </cfRule>
  </conditionalFormatting>
  <conditionalFormatting sqref="G81">
    <cfRule type="expression" dxfId="235" priority="787" stopIfTrue="1">
      <formula>$G$81="P"</formula>
    </cfRule>
  </conditionalFormatting>
  <conditionalFormatting sqref="G81">
    <cfRule type="expression" dxfId="234" priority="788" stopIfTrue="1">
      <formula>$G$81="B"</formula>
    </cfRule>
  </conditionalFormatting>
  <conditionalFormatting sqref="H81">
    <cfRule type="expression" dxfId="233" priority="789" stopIfTrue="1">
      <formula>$H$81="P"</formula>
    </cfRule>
  </conditionalFormatting>
  <conditionalFormatting sqref="H81">
    <cfRule type="expression" dxfId="232" priority="790" stopIfTrue="1">
      <formula>$H$81="B"</formula>
    </cfRule>
  </conditionalFormatting>
  <conditionalFormatting sqref="I81">
    <cfRule type="expression" dxfId="231" priority="791" stopIfTrue="1">
      <formula>$I$81="P"</formula>
    </cfRule>
  </conditionalFormatting>
  <conditionalFormatting sqref="I81">
    <cfRule type="expression" dxfId="230" priority="792" stopIfTrue="1">
      <formula>$I$81="B"</formula>
    </cfRule>
  </conditionalFormatting>
  <conditionalFormatting sqref="J81">
    <cfRule type="expression" dxfId="229" priority="793" stopIfTrue="1">
      <formula>$J$81="P"</formula>
    </cfRule>
  </conditionalFormatting>
  <conditionalFormatting sqref="J81">
    <cfRule type="expression" dxfId="228" priority="794" stopIfTrue="1">
      <formula>$J$81="B"</formula>
    </cfRule>
  </conditionalFormatting>
  <conditionalFormatting sqref="K81">
    <cfRule type="expression" dxfId="227" priority="795" stopIfTrue="1">
      <formula>$K$81="P"</formula>
    </cfRule>
  </conditionalFormatting>
  <conditionalFormatting sqref="K81">
    <cfRule type="expression" dxfId="226" priority="796" stopIfTrue="1">
      <formula>$K$81="B"</formula>
    </cfRule>
  </conditionalFormatting>
  <conditionalFormatting sqref="L81">
    <cfRule type="expression" dxfId="225" priority="797" stopIfTrue="1">
      <formula>$L$81="P"</formula>
    </cfRule>
  </conditionalFormatting>
  <conditionalFormatting sqref="L81">
    <cfRule type="expression" dxfId="224" priority="798" stopIfTrue="1">
      <formula>$L$81="B"</formula>
    </cfRule>
  </conditionalFormatting>
  <conditionalFormatting sqref="M81">
    <cfRule type="expression" dxfId="223" priority="799" stopIfTrue="1">
      <formula>$M$81="P"</formula>
    </cfRule>
  </conditionalFormatting>
  <conditionalFormatting sqref="M81">
    <cfRule type="expression" dxfId="222" priority="800" stopIfTrue="1">
      <formula>$M$81="B"</formula>
    </cfRule>
  </conditionalFormatting>
  <conditionalFormatting sqref="N81">
    <cfRule type="expression" dxfId="221" priority="801" stopIfTrue="1">
      <formula>$N$81="P"</formula>
    </cfRule>
  </conditionalFormatting>
  <conditionalFormatting sqref="N81">
    <cfRule type="expression" dxfId="220" priority="802" stopIfTrue="1">
      <formula>$N$81="B"</formula>
    </cfRule>
  </conditionalFormatting>
  <conditionalFormatting sqref="O81">
    <cfRule type="expression" dxfId="219" priority="803" stopIfTrue="1">
      <formula>$O$81="P"</formula>
    </cfRule>
  </conditionalFormatting>
  <conditionalFormatting sqref="O81">
    <cfRule type="expression" dxfId="218" priority="804" stopIfTrue="1">
      <formula>$O$81="B"</formula>
    </cfRule>
  </conditionalFormatting>
  <conditionalFormatting sqref="P81">
    <cfRule type="expression" dxfId="217" priority="805" stopIfTrue="1">
      <formula>$P$81="P"</formula>
    </cfRule>
  </conditionalFormatting>
  <conditionalFormatting sqref="P81">
    <cfRule type="expression" dxfId="216" priority="806" stopIfTrue="1">
      <formula>$P$81="B"</formula>
    </cfRule>
  </conditionalFormatting>
  <conditionalFormatting sqref="Q81">
    <cfRule type="expression" dxfId="215" priority="807" stopIfTrue="1">
      <formula>$Q$81="P"</formula>
    </cfRule>
  </conditionalFormatting>
  <conditionalFormatting sqref="Q81">
    <cfRule type="expression" dxfId="214" priority="808" stopIfTrue="1">
      <formula>$Q$81="B"</formula>
    </cfRule>
  </conditionalFormatting>
  <conditionalFormatting sqref="R81">
    <cfRule type="expression" dxfId="213" priority="809" stopIfTrue="1">
      <formula>$R$81="P"</formula>
    </cfRule>
  </conditionalFormatting>
  <conditionalFormatting sqref="R81">
    <cfRule type="expression" dxfId="212" priority="810" stopIfTrue="1">
      <formula>$R$81="B"</formula>
    </cfRule>
  </conditionalFormatting>
  <conditionalFormatting sqref="S81">
    <cfRule type="expression" dxfId="211" priority="811" stopIfTrue="1">
      <formula>$S$81="P"</formula>
    </cfRule>
  </conditionalFormatting>
  <conditionalFormatting sqref="S81">
    <cfRule type="expression" dxfId="210" priority="812" stopIfTrue="1">
      <formula>$S$81="B"</formula>
    </cfRule>
  </conditionalFormatting>
  <conditionalFormatting sqref="T81">
    <cfRule type="expression" dxfId="209" priority="813" stopIfTrue="1">
      <formula>$T$81="P"</formula>
    </cfRule>
  </conditionalFormatting>
  <conditionalFormatting sqref="T81">
    <cfRule type="expression" dxfId="208" priority="814" stopIfTrue="1">
      <formula>$T$81="B"</formula>
    </cfRule>
  </conditionalFormatting>
  <conditionalFormatting sqref="U81">
    <cfRule type="expression" dxfId="207" priority="815" stopIfTrue="1">
      <formula>$U$81="P"</formula>
    </cfRule>
  </conditionalFormatting>
  <conditionalFormatting sqref="U81">
    <cfRule type="expression" dxfId="206" priority="816" stopIfTrue="1">
      <formula>$U$81="B"</formula>
    </cfRule>
  </conditionalFormatting>
  <conditionalFormatting sqref="V81">
    <cfRule type="expression" dxfId="205" priority="817" stopIfTrue="1">
      <formula>$V$81="P"</formula>
    </cfRule>
  </conditionalFormatting>
  <conditionalFormatting sqref="V81">
    <cfRule type="expression" dxfId="204" priority="818" stopIfTrue="1">
      <formula>$V$81="B"</formula>
    </cfRule>
  </conditionalFormatting>
  <conditionalFormatting sqref="W81">
    <cfRule type="expression" dxfId="203" priority="819" stopIfTrue="1">
      <formula>$W$81="P"</formula>
    </cfRule>
  </conditionalFormatting>
  <conditionalFormatting sqref="W81">
    <cfRule type="expression" dxfId="202" priority="820" stopIfTrue="1">
      <formula>$W$81="B"</formula>
    </cfRule>
  </conditionalFormatting>
  <conditionalFormatting sqref="N82">
    <cfRule type="expression" dxfId="201" priority="821" stopIfTrue="1">
      <formula>$N$82="P"</formula>
    </cfRule>
  </conditionalFormatting>
  <conditionalFormatting sqref="N82">
    <cfRule type="expression" dxfId="200" priority="822" stopIfTrue="1">
      <formula>$N$82="B"</formula>
    </cfRule>
  </conditionalFormatting>
  <conditionalFormatting sqref="O82">
    <cfRule type="expression" dxfId="199" priority="823" stopIfTrue="1">
      <formula>$O$82="P"</formula>
    </cfRule>
  </conditionalFormatting>
  <conditionalFormatting sqref="O82">
    <cfRule type="expression" dxfId="198" priority="824" stopIfTrue="1">
      <formula>$O$82="B"</formula>
    </cfRule>
  </conditionalFormatting>
  <conditionalFormatting sqref="P82">
    <cfRule type="expression" dxfId="197" priority="825" stopIfTrue="1">
      <formula>$P$82="P"</formula>
    </cfRule>
  </conditionalFormatting>
  <conditionalFormatting sqref="P82">
    <cfRule type="expression" dxfId="196" priority="826" stopIfTrue="1">
      <formula>$P$82="B"</formula>
    </cfRule>
  </conditionalFormatting>
  <conditionalFormatting sqref="Q82">
    <cfRule type="expression" dxfId="195" priority="827" stopIfTrue="1">
      <formula>$Q$82="P"</formula>
    </cfRule>
  </conditionalFormatting>
  <conditionalFormatting sqref="Q82">
    <cfRule type="expression" dxfId="194" priority="828" stopIfTrue="1">
      <formula>$Q$82="B"</formula>
    </cfRule>
  </conditionalFormatting>
  <conditionalFormatting sqref="R82">
    <cfRule type="expression" dxfId="193" priority="829" stopIfTrue="1">
      <formula>$R$82="P"</formula>
    </cfRule>
  </conditionalFormatting>
  <conditionalFormatting sqref="R82">
    <cfRule type="expression" dxfId="192" priority="830" stopIfTrue="1">
      <formula>$R$82="B"</formula>
    </cfRule>
  </conditionalFormatting>
  <conditionalFormatting sqref="S82">
    <cfRule type="expression" dxfId="191" priority="831" stopIfTrue="1">
      <formula>$S$82="P"</formula>
    </cfRule>
  </conditionalFormatting>
  <conditionalFormatting sqref="S82">
    <cfRule type="expression" dxfId="190" priority="832" stopIfTrue="1">
      <formula>$S$82="B"</formula>
    </cfRule>
  </conditionalFormatting>
  <conditionalFormatting sqref="T82">
    <cfRule type="expression" dxfId="189" priority="833" stopIfTrue="1">
      <formula>$T$82="P"</formula>
    </cfRule>
  </conditionalFormatting>
  <conditionalFormatting sqref="T82">
    <cfRule type="expression" dxfId="188" priority="834" stopIfTrue="1">
      <formula>$T$82="B"</formula>
    </cfRule>
  </conditionalFormatting>
  <conditionalFormatting sqref="U82">
    <cfRule type="expression" dxfId="187" priority="835" stopIfTrue="1">
      <formula>$U$82="P"</formula>
    </cfRule>
  </conditionalFormatting>
  <conditionalFormatting sqref="U82">
    <cfRule type="expression" dxfId="186" priority="836" stopIfTrue="1">
      <formula>$U$82="B"</formula>
    </cfRule>
  </conditionalFormatting>
  <conditionalFormatting sqref="V82">
    <cfRule type="expression" dxfId="185" priority="837" stopIfTrue="1">
      <formula>$V$82="P"</formula>
    </cfRule>
  </conditionalFormatting>
  <conditionalFormatting sqref="V82">
    <cfRule type="expression" dxfId="184" priority="838" stopIfTrue="1">
      <formula>$V$82="B"</formula>
    </cfRule>
  </conditionalFormatting>
  <conditionalFormatting sqref="W82">
    <cfRule type="expression" dxfId="183" priority="839" stopIfTrue="1">
      <formula>$W$82="P"</formula>
    </cfRule>
  </conditionalFormatting>
  <conditionalFormatting sqref="W82">
    <cfRule type="expression" dxfId="182" priority="840" stopIfTrue="1">
      <formula>$W$82="B"</formula>
    </cfRule>
  </conditionalFormatting>
  <conditionalFormatting sqref="X82">
    <cfRule type="expression" dxfId="181" priority="841" stopIfTrue="1">
      <formula>$X$82="P"</formula>
    </cfRule>
  </conditionalFormatting>
  <conditionalFormatting sqref="X82">
    <cfRule type="expression" dxfId="180" priority="842" stopIfTrue="1">
      <formula>$X$82="B"</formula>
    </cfRule>
  </conditionalFormatting>
  <conditionalFormatting sqref="Y82">
    <cfRule type="expression" dxfId="179" priority="843" stopIfTrue="1">
      <formula>$Y$82="P"</formula>
    </cfRule>
  </conditionalFormatting>
  <conditionalFormatting sqref="Y82">
    <cfRule type="expression" dxfId="178" priority="844" stopIfTrue="1">
      <formula>$Y$82="B"</formula>
    </cfRule>
  </conditionalFormatting>
  <conditionalFormatting sqref="Z82">
    <cfRule type="expression" dxfId="177" priority="845" stopIfTrue="1">
      <formula>$Z$82="P"</formula>
    </cfRule>
  </conditionalFormatting>
  <conditionalFormatting sqref="Z82">
    <cfRule type="expression" dxfId="176" priority="846" stopIfTrue="1">
      <formula>$Z$82="B"</formula>
    </cfRule>
  </conditionalFormatting>
  <conditionalFormatting sqref="AA82">
    <cfRule type="expression" dxfId="175" priority="847" stopIfTrue="1">
      <formula>$AA$82="P"</formula>
    </cfRule>
  </conditionalFormatting>
  <conditionalFormatting sqref="AA82">
    <cfRule type="expression" dxfId="174" priority="848" stopIfTrue="1">
      <formula>$AA$82="B"</formula>
    </cfRule>
  </conditionalFormatting>
  <conditionalFormatting sqref="AB82">
    <cfRule type="expression" dxfId="173" priority="849" stopIfTrue="1">
      <formula>$AB$82="P"</formula>
    </cfRule>
  </conditionalFormatting>
  <conditionalFormatting sqref="AB82">
    <cfRule type="expression" dxfId="172" priority="850" stopIfTrue="1">
      <formula>$AB$82="B"</formula>
    </cfRule>
  </conditionalFormatting>
  <conditionalFormatting sqref="AC82">
    <cfRule type="expression" dxfId="171" priority="851" stopIfTrue="1">
      <formula>$AC$82="P"</formula>
    </cfRule>
  </conditionalFormatting>
  <conditionalFormatting sqref="AC82">
    <cfRule type="expression" dxfId="170" priority="852" stopIfTrue="1">
      <formula>$AC$82="B"</formula>
    </cfRule>
  </conditionalFormatting>
  <conditionalFormatting sqref="AD82">
    <cfRule type="expression" dxfId="169" priority="853" stopIfTrue="1">
      <formula>$AD$82="P"</formula>
    </cfRule>
  </conditionalFormatting>
  <conditionalFormatting sqref="AD82">
    <cfRule type="expression" dxfId="168" priority="854" stopIfTrue="1">
      <formula>$AD$82="B"</formula>
    </cfRule>
  </conditionalFormatting>
  <conditionalFormatting sqref="AE82">
    <cfRule type="expression" dxfId="167" priority="855" stopIfTrue="1">
      <formula>$AE$82="P"</formula>
    </cfRule>
  </conditionalFormatting>
  <conditionalFormatting sqref="AE82">
    <cfRule type="expression" dxfId="166" priority="856" stopIfTrue="1">
      <formula>$AE$82="B"</formula>
    </cfRule>
  </conditionalFormatting>
  <conditionalFormatting sqref="AF82">
    <cfRule type="expression" dxfId="165" priority="857" stopIfTrue="1">
      <formula>$AF$82="P"</formula>
    </cfRule>
  </conditionalFormatting>
  <conditionalFormatting sqref="AF82">
    <cfRule type="expression" dxfId="164" priority="858" stopIfTrue="1">
      <formula>$AF$82="B"</formula>
    </cfRule>
  </conditionalFormatting>
  <conditionalFormatting sqref="AG82">
    <cfRule type="expression" dxfId="163" priority="859" stopIfTrue="1">
      <formula>$AG$82="P"</formula>
    </cfRule>
  </conditionalFormatting>
  <conditionalFormatting sqref="AG82">
    <cfRule type="expression" dxfId="162" priority="860" stopIfTrue="1">
      <formula>$AG$82="B"</formula>
    </cfRule>
  </conditionalFormatting>
  <conditionalFormatting sqref="X83">
    <cfRule type="expression" dxfId="161" priority="861" stopIfTrue="1">
      <formula>$X$83="P"</formula>
    </cfRule>
  </conditionalFormatting>
  <conditionalFormatting sqref="X83">
    <cfRule type="expression" dxfId="160" priority="862" stopIfTrue="1">
      <formula>$X$83="B"</formula>
    </cfRule>
  </conditionalFormatting>
  <conditionalFormatting sqref="Y83">
    <cfRule type="expression" dxfId="159" priority="863" stopIfTrue="1">
      <formula>$Y$83="P"</formula>
    </cfRule>
  </conditionalFormatting>
  <conditionalFormatting sqref="Y83">
    <cfRule type="expression" dxfId="158" priority="864" stopIfTrue="1">
      <formula>$Y$83="B"</formula>
    </cfRule>
  </conditionalFormatting>
  <conditionalFormatting sqref="Z83">
    <cfRule type="expression" dxfId="157" priority="865" stopIfTrue="1">
      <formula>$Z$83="P"</formula>
    </cfRule>
  </conditionalFormatting>
  <conditionalFormatting sqref="Z83">
    <cfRule type="expression" dxfId="156" priority="866" stopIfTrue="1">
      <formula>$Z$83="B"</formula>
    </cfRule>
  </conditionalFormatting>
  <conditionalFormatting sqref="AA83">
    <cfRule type="expression" dxfId="155" priority="867" stopIfTrue="1">
      <formula>$AA$83="P"</formula>
    </cfRule>
  </conditionalFormatting>
  <conditionalFormatting sqref="AA83">
    <cfRule type="expression" dxfId="154" priority="868" stopIfTrue="1">
      <formula>$AA$83="B"</formula>
    </cfRule>
  </conditionalFormatting>
  <conditionalFormatting sqref="AB83">
    <cfRule type="expression" dxfId="153" priority="869" stopIfTrue="1">
      <formula>$AB$83="P"</formula>
    </cfRule>
  </conditionalFormatting>
  <conditionalFormatting sqref="AB83">
    <cfRule type="expression" dxfId="152" priority="870" stopIfTrue="1">
      <formula>$AB$83="B"</formula>
    </cfRule>
  </conditionalFormatting>
  <conditionalFormatting sqref="AC83">
    <cfRule type="expression" dxfId="151" priority="871" stopIfTrue="1">
      <formula>$AC$83="P"</formula>
    </cfRule>
  </conditionalFormatting>
  <conditionalFormatting sqref="AC83">
    <cfRule type="expression" dxfId="150" priority="872" stopIfTrue="1">
      <formula>$AC$83="B"</formula>
    </cfRule>
  </conditionalFormatting>
  <conditionalFormatting sqref="AD83">
    <cfRule type="expression" dxfId="149" priority="873" stopIfTrue="1">
      <formula>$AD$83="P"</formula>
    </cfRule>
  </conditionalFormatting>
  <conditionalFormatting sqref="AD83">
    <cfRule type="expression" dxfId="148" priority="874" stopIfTrue="1">
      <formula>$AD$83="B"</formula>
    </cfRule>
  </conditionalFormatting>
  <conditionalFormatting sqref="AE83">
    <cfRule type="expression" dxfId="147" priority="875" stopIfTrue="1">
      <formula>$AE$83="P"</formula>
    </cfRule>
  </conditionalFormatting>
  <conditionalFormatting sqref="AE83">
    <cfRule type="expression" dxfId="146" priority="876" stopIfTrue="1">
      <formula>$AE$83="B"</formula>
    </cfRule>
  </conditionalFormatting>
  <conditionalFormatting sqref="AF83">
    <cfRule type="expression" dxfId="145" priority="877" stopIfTrue="1">
      <formula>$AF$83="P"</formula>
    </cfRule>
  </conditionalFormatting>
  <conditionalFormatting sqref="AF83">
    <cfRule type="expression" dxfId="144" priority="878" stopIfTrue="1">
      <formula>$AF$83="B"</formula>
    </cfRule>
  </conditionalFormatting>
  <conditionalFormatting sqref="AG83">
    <cfRule type="expression" dxfId="143" priority="879" stopIfTrue="1">
      <formula>$AG$83="P"</formula>
    </cfRule>
  </conditionalFormatting>
  <conditionalFormatting sqref="AG83">
    <cfRule type="expression" dxfId="142" priority="880" stopIfTrue="1">
      <formula>$AG$83="B"</formula>
    </cfRule>
  </conditionalFormatting>
  <conditionalFormatting sqref="AH83">
    <cfRule type="expression" dxfId="141" priority="881" stopIfTrue="1">
      <formula>$AH$83="P"</formula>
    </cfRule>
  </conditionalFormatting>
  <conditionalFormatting sqref="AH83">
    <cfRule type="expression" dxfId="140" priority="882" stopIfTrue="1">
      <formula>$AH$83="B"</formula>
    </cfRule>
  </conditionalFormatting>
  <conditionalFormatting sqref="AI83">
    <cfRule type="expression" dxfId="139" priority="883" stopIfTrue="1">
      <formula>$AI$83="P"</formula>
    </cfRule>
  </conditionalFormatting>
  <conditionalFormatting sqref="AI83">
    <cfRule type="expression" dxfId="138" priority="884" stopIfTrue="1">
      <formula>$AI$83="B"</formula>
    </cfRule>
  </conditionalFormatting>
  <conditionalFormatting sqref="AJ83">
    <cfRule type="expression" dxfId="137" priority="885" stopIfTrue="1">
      <formula>$AJ$83="P"</formula>
    </cfRule>
  </conditionalFormatting>
  <conditionalFormatting sqref="AJ83">
    <cfRule type="expression" dxfId="136" priority="886" stopIfTrue="1">
      <formula>$AJ$83="B"</formula>
    </cfRule>
  </conditionalFormatting>
  <conditionalFormatting sqref="AK83">
    <cfRule type="expression" dxfId="135" priority="887" stopIfTrue="1">
      <formula>$AK$83="P"</formula>
    </cfRule>
  </conditionalFormatting>
  <conditionalFormatting sqref="AK83">
    <cfRule type="expression" dxfId="134" priority="888" stopIfTrue="1">
      <formula>$AK$83="B"</formula>
    </cfRule>
  </conditionalFormatting>
  <conditionalFormatting sqref="AL83">
    <cfRule type="expression" dxfId="133" priority="889" stopIfTrue="1">
      <formula>$AL$83="P"</formula>
    </cfRule>
  </conditionalFormatting>
  <conditionalFormatting sqref="AL83">
    <cfRule type="expression" dxfId="132" priority="890" stopIfTrue="1">
      <formula>$AL$83="B"</formula>
    </cfRule>
  </conditionalFormatting>
  <conditionalFormatting sqref="AM83">
    <cfRule type="expression" dxfId="131" priority="891" stopIfTrue="1">
      <formula>$AM$83="P"</formula>
    </cfRule>
  </conditionalFormatting>
  <conditionalFormatting sqref="AM83">
    <cfRule type="expression" dxfId="130" priority="892" stopIfTrue="1">
      <formula>$AM$83="B"</formula>
    </cfRule>
  </conditionalFormatting>
  <conditionalFormatting sqref="AN83">
    <cfRule type="expression" dxfId="129" priority="893" stopIfTrue="1">
      <formula>$AN$83="P"</formula>
    </cfRule>
  </conditionalFormatting>
  <conditionalFormatting sqref="AN83">
    <cfRule type="expression" dxfId="128" priority="894" stopIfTrue="1">
      <formula>$AN$83="B"</formula>
    </cfRule>
  </conditionalFormatting>
  <conditionalFormatting sqref="AO83">
    <cfRule type="expression" dxfId="127" priority="895" stopIfTrue="1">
      <formula>$AO$83="P"</formula>
    </cfRule>
  </conditionalFormatting>
  <conditionalFormatting sqref="AO83">
    <cfRule type="expression" dxfId="126" priority="896" stopIfTrue="1">
      <formula>$AO$83="B"</formula>
    </cfRule>
  </conditionalFormatting>
  <conditionalFormatting sqref="AP83">
    <cfRule type="expression" dxfId="125" priority="897" stopIfTrue="1">
      <formula>$AP$83="P"</formula>
    </cfRule>
  </conditionalFormatting>
  <conditionalFormatting sqref="AP83">
    <cfRule type="expression" dxfId="124" priority="898" stopIfTrue="1">
      <formula>$AP$83="B"</formula>
    </cfRule>
  </conditionalFormatting>
  <conditionalFormatting sqref="AQ83">
    <cfRule type="expression" dxfId="123" priority="899" stopIfTrue="1">
      <formula>$AQ$83="P"</formula>
    </cfRule>
  </conditionalFormatting>
  <conditionalFormatting sqref="AQ83">
    <cfRule type="expression" dxfId="122" priority="900" stopIfTrue="1">
      <formula>$AQ$83="B"</formula>
    </cfRule>
  </conditionalFormatting>
  <conditionalFormatting sqref="AH84">
    <cfRule type="expression" dxfId="121" priority="901" stopIfTrue="1">
      <formula>$AH$84="P"</formula>
    </cfRule>
  </conditionalFormatting>
  <conditionalFormatting sqref="AH84">
    <cfRule type="expression" dxfId="120" priority="902" stopIfTrue="1">
      <formula>$AH$84="B"</formula>
    </cfRule>
  </conditionalFormatting>
  <conditionalFormatting sqref="AI84">
    <cfRule type="expression" dxfId="119" priority="903" stopIfTrue="1">
      <formula>$AI$84="P"</formula>
    </cfRule>
  </conditionalFormatting>
  <conditionalFormatting sqref="AI84">
    <cfRule type="expression" dxfId="118" priority="904" stopIfTrue="1">
      <formula>$AI$84="B"</formula>
    </cfRule>
  </conditionalFormatting>
  <conditionalFormatting sqref="AJ84">
    <cfRule type="expression" dxfId="117" priority="905" stopIfTrue="1">
      <formula>$AJ$84="P"</formula>
    </cfRule>
  </conditionalFormatting>
  <conditionalFormatting sqref="AJ84">
    <cfRule type="expression" dxfId="116" priority="906" stopIfTrue="1">
      <formula>$AJ$84="B"</formula>
    </cfRule>
  </conditionalFormatting>
  <conditionalFormatting sqref="AK84">
    <cfRule type="expression" dxfId="115" priority="907" stopIfTrue="1">
      <formula>$AK$84="P"</formula>
    </cfRule>
  </conditionalFormatting>
  <conditionalFormatting sqref="AK84">
    <cfRule type="expression" dxfId="114" priority="908" stopIfTrue="1">
      <formula>$AK$84="B"</formula>
    </cfRule>
  </conditionalFormatting>
  <conditionalFormatting sqref="AL84">
    <cfRule type="expression" dxfId="113" priority="909" stopIfTrue="1">
      <formula>$AL$84="P"</formula>
    </cfRule>
  </conditionalFormatting>
  <conditionalFormatting sqref="AL84">
    <cfRule type="expression" dxfId="112" priority="910" stopIfTrue="1">
      <formula>$AL$84="B"</formula>
    </cfRule>
  </conditionalFormatting>
  <conditionalFormatting sqref="AM84">
    <cfRule type="expression" dxfId="111" priority="911" stopIfTrue="1">
      <formula>$AM$84="P"</formula>
    </cfRule>
  </conditionalFormatting>
  <conditionalFormatting sqref="AM84">
    <cfRule type="expression" dxfId="110" priority="912" stopIfTrue="1">
      <formula>$AM$84="B"</formula>
    </cfRule>
  </conditionalFormatting>
  <conditionalFormatting sqref="AN84">
    <cfRule type="expression" dxfId="109" priority="913" stopIfTrue="1">
      <formula>$AN$84="P"</formula>
    </cfRule>
  </conditionalFormatting>
  <conditionalFormatting sqref="AN84">
    <cfRule type="expression" dxfId="108" priority="914" stopIfTrue="1">
      <formula>$AN$84="B"</formula>
    </cfRule>
  </conditionalFormatting>
  <conditionalFormatting sqref="AO84">
    <cfRule type="expression" dxfId="107" priority="915" stopIfTrue="1">
      <formula>$AO$84="P"</formula>
    </cfRule>
  </conditionalFormatting>
  <conditionalFormatting sqref="AO84">
    <cfRule type="expression" dxfId="106" priority="916" stopIfTrue="1">
      <formula>$AO$84="B"</formula>
    </cfRule>
  </conditionalFormatting>
  <conditionalFormatting sqref="AP84">
    <cfRule type="expression" dxfId="105" priority="917" stopIfTrue="1">
      <formula>$AP$84="P"</formula>
    </cfRule>
  </conditionalFormatting>
  <conditionalFormatting sqref="AP84">
    <cfRule type="expression" dxfId="104" priority="918" stopIfTrue="1">
      <formula>$AP$84="B"</formula>
    </cfRule>
  </conditionalFormatting>
  <conditionalFormatting sqref="AQ84">
    <cfRule type="expression" dxfId="103" priority="919" stopIfTrue="1">
      <formula>$AQ$84="P"</formula>
    </cfRule>
  </conditionalFormatting>
  <conditionalFormatting sqref="AQ84">
    <cfRule type="expression" dxfId="102" priority="920" stopIfTrue="1">
      <formula>$AQ$84="B"</formula>
    </cfRule>
  </conditionalFormatting>
  <conditionalFormatting sqref="AR84">
    <cfRule type="expression" dxfId="101" priority="921" stopIfTrue="1">
      <formula>$AR$84="P"</formula>
    </cfRule>
  </conditionalFormatting>
  <conditionalFormatting sqref="AR84">
    <cfRule type="expression" dxfId="100" priority="922" stopIfTrue="1">
      <formula>$AR$84="B"</formula>
    </cfRule>
  </conditionalFormatting>
  <conditionalFormatting sqref="AS84">
    <cfRule type="expression" dxfId="99" priority="923" stopIfTrue="1">
      <formula>$AS$84="P"</formula>
    </cfRule>
  </conditionalFormatting>
  <conditionalFormatting sqref="AS84">
    <cfRule type="expression" dxfId="98" priority="924" stopIfTrue="1">
      <formula>$AS$84="B"</formula>
    </cfRule>
  </conditionalFormatting>
  <conditionalFormatting sqref="AT84">
    <cfRule type="expression" dxfId="97" priority="925" stopIfTrue="1">
      <formula>$AT$84="P"</formula>
    </cfRule>
  </conditionalFormatting>
  <conditionalFormatting sqref="AT84">
    <cfRule type="expression" dxfId="96" priority="926" stopIfTrue="1">
      <formula>$AT$84="B"</formula>
    </cfRule>
  </conditionalFormatting>
  <conditionalFormatting sqref="AU84">
    <cfRule type="expression" dxfId="95" priority="927" stopIfTrue="1">
      <formula>$AU$84="P"</formula>
    </cfRule>
  </conditionalFormatting>
  <conditionalFormatting sqref="AU84">
    <cfRule type="expression" dxfId="94" priority="928" stopIfTrue="1">
      <formula>$AU$84="B"</formula>
    </cfRule>
  </conditionalFormatting>
  <conditionalFormatting sqref="AV84">
    <cfRule type="expression" dxfId="93" priority="929" stopIfTrue="1">
      <formula>$AV$84="P"</formula>
    </cfRule>
  </conditionalFormatting>
  <conditionalFormatting sqref="AV84">
    <cfRule type="expression" dxfId="92" priority="930" stopIfTrue="1">
      <formula>$AV$84="B"</formula>
    </cfRule>
  </conditionalFormatting>
  <conditionalFormatting sqref="AW84">
    <cfRule type="expression" dxfId="91" priority="931" stopIfTrue="1">
      <formula>$AW$84="P"</formula>
    </cfRule>
  </conditionalFormatting>
  <conditionalFormatting sqref="AW84">
    <cfRule type="expression" dxfId="90" priority="932" stopIfTrue="1">
      <formula>$AW$84="B"</formula>
    </cfRule>
  </conditionalFormatting>
  <conditionalFormatting sqref="AX84">
    <cfRule type="expression" dxfId="89" priority="933" stopIfTrue="1">
      <formula>$AX$84="P"</formula>
    </cfRule>
  </conditionalFormatting>
  <conditionalFormatting sqref="AX84">
    <cfRule type="expression" dxfId="88" priority="934" stopIfTrue="1">
      <formula>$AX$84="B"</formula>
    </cfRule>
  </conditionalFormatting>
  <conditionalFormatting sqref="AY84">
    <cfRule type="expression" dxfId="87" priority="935" stopIfTrue="1">
      <formula>$AY$84="P"</formula>
    </cfRule>
  </conditionalFormatting>
  <conditionalFormatting sqref="AY84">
    <cfRule type="expression" dxfId="86" priority="936" stopIfTrue="1">
      <formula>$AY$84="B"</formula>
    </cfRule>
  </conditionalFormatting>
  <conditionalFormatting sqref="AZ84">
    <cfRule type="expression" dxfId="85" priority="937" stopIfTrue="1">
      <formula>$AZ$84="P"</formula>
    </cfRule>
  </conditionalFormatting>
  <conditionalFormatting sqref="AZ84">
    <cfRule type="expression" dxfId="84" priority="938" stopIfTrue="1">
      <formula>$AZ$84="B"</formula>
    </cfRule>
  </conditionalFormatting>
  <conditionalFormatting sqref="BA84">
    <cfRule type="expression" dxfId="83" priority="939" stopIfTrue="1">
      <formula>$BA$84="P"</formula>
    </cfRule>
  </conditionalFormatting>
  <conditionalFormatting sqref="BA84">
    <cfRule type="expression" dxfId="82" priority="940" stopIfTrue="1">
      <formula>$BA$84="B"</formula>
    </cfRule>
  </conditionalFormatting>
  <conditionalFormatting sqref="AR85">
    <cfRule type="expression" dxfId="81" priority="941" stopIfTrue="1">
      <formula>$AR$85="P"</formula>
    </cfRule>
  </conditionalFormatting>
  <conditionalFormatting sqref="AR85">
    <cfRule type="expression" dxfId="80" priority="942" stopIfTrue="1">
      <formula>$AR$85="B"</formula>
    </cfRule>
  </conditionalFormatting>
  <conditionalFormatting sqref="AS85">
    <cfRule type="expression" dxfId="79" priority="943" stopIfTrue="1">
      <formula>$AS$85="P"</formula>
    </cfRule>
  </conditionalFormatting>
  <conditionalFormatting sqref="AS85">
    <cfRule type="expression" dxfId="78" priority="944" stopIfTrue="1">
      <formula>$AS$85="B"</formula>
    </cfRule>
  </conditionalFormatting>
  <conditionalFormatting sqref="AT85">
    <cfRule type="expression" dxfId="77" priority="945" stopIfTrue="1">
      <formula>$AT$85="P"</formula>
    </cfRule>
  </conditionalFormatting>
  <conditionalFormatting sqref="AT85">
    <cfRule type="expression" dxfId="76" priority="946" stopIfTrue="1">
      <formula>$AT$85="B"</formula>
    </cfRule>
  </conditionalFormatting>
  <conditionalFormatting sqref="AU85">
    <cfRule type="expression" dxfId="75" priority="947" stopIfTrue="1">
      <formula>$AU$85="P"</formula>
    </cfRule>
  </conditionalFormatting>
  <conditionalFormatting sqref="AU85">
    <cfRule type="expression" dxfId="74" priority="948" stopIfTrue="1">
      <formula>$AU$85="B"</formula>
    </cfRule>
  </conditionalFormatting>
  <conditionalFormatting sqref="AV85">
    <cfRule type="expression" dxfId="73" priority="949" stopIfTrue="1">
      <formula>$AV$85="P"</formula>
    </cfRule>
  </conditionalFormatting>
  <conditionalFormatting sqref="AV85">
    <cfRule type="expression" dxfId="72" priority="950" stopIfTrue="1">
      <formula>$AV$85="B"</formula>
    </cfRule>
  </conditionalFormatting>
  <conditionalFormatting sqref="AW85">
    <cfRule type="expression" dxfId="71" priority="951" stopIfTrue="1">
      <formula>$AW$85="P"</formula>
    </cfRule>
  </conditionalFormatting>
  <conditionalFormatting sqref="AW85">
    <cfRule type="expression" dxfId="70" priority="952" stopIfTrue="1">
      <formula>$AW$85="B"</formula>
    </cfRule>
  </conditionalFormatting>
  <conditionalFormatting sqref="AX85">
    <cfRule type="expression" dxfId="69" priority="953" stopIfTrue="1">
      <formula>$AX$85="P"</formula>
    </cfRule>
  </conditionalFormatting>
  <conditionalFormatting sqref="AX85">
    <cfRule type="expression" dxfId="68" priority="954" stopIfTrue="1">
      <formula>$AX$85="B"</formula>
    </cfRule>
  </conditionalFormatting>
  <conditionalFormatting sqref="AY85">
    <cfRule type="expression" dxfId="67" priority="955" stopIfTrue="1">
      <formula>$AY$85="P"</formula>
    </cfRule>
  </conditionalFormatting>
  <conditionalFormatting sqref="AY85">
    <cfRule type="expression" dxfId="66" priority="956" stopIfTrue="1">
      <formula>$AY$85="B"</formula>
    </cfRule>
  </conditionalFormatting>
  <conditionalFormatting sqref="AZ85">
    <cfRule type="expression" dxfId="65" priority="957" stopIfTrue="1">
      <formula>$AZ$85="P"</formula>
    </cfRule>
  </conditionalFormatting>
  <conditionalFormatting sqref="AZ85">
    <cfRule type="expression" dxfId="64" priority="958" stopIfTrue="1">
      <formula>$AZ$85="B"</formula>
    </cfRule>
  </conditionalFormatting>
  <conditionalFormatting sqref="BA85">
    <cfRule type="expression" dxfId="63" priority="959" stopIfTrue="1">
      <formula>$BA$85="P"</formula>
    </cfRule>
  </conditionalFormatting>
  <conditionalFormatting sqref="BA85">
    <cfRule type="expression" dxfId="62" priority="960" stopIfTrue="1">
      <formula>$BA$85="B"</formula>
    </cfRule>
  </conditionalFormatting>
  <conditionalFormatting sqref="BB85">
    <cfRule type="expression" dxfId="61" priority="961" stopIfTrue="1">
      <formula>$BB$85="P"</formula>
    </cfRule>
  </conditionalFormatting>
  <conditionalFormatting sqref="BB85">
    <cfRule type="expression" dxfId="60" priority="962" stopIfTrue="1">
      <formula>$BB$85="B"</formula>
    </cfRule>
  </conditionalFormatting>
  <conditionalFormatting sqref="BC85">
    <cfRule type="expression" dxfId="59" priority="963" stopIfTrue="1">
      <formula>$BC$85="P"</formula>
    </cfRule>
  </conditionalFormatting>
  <conditionalFormatting sqref="BC85">
    <cfRule type="expression" dxfId="58" priority="964" stopIfTrue="1">
      <formula>$BC$85="B"</formula>
    </cfRule>
  </conditionalFormatting>
  <conditionalFormatting sqref="BD85">
    <cfRule type="expression" dxfId="57" priority="965" stopIfTrue="1">
      <formula>$BD$85="P"</formula>
    </cfRule>
  </conditionalFormatting>
  <conditionalFormatting sqref="BD85">
    <cfRule type="expression" dxfId="56" priority="966" stopIfTrue="1">
      <formula>$BD$85="B"</formula>
    </cfRule>
  </conditionalFormatting>
  <conditionalFormatting sqref="BE85">
    <cfRule type="expression" dxfId="55" priority="967" stopIfTrue="1">
      <formula>$BE$85="P"</formula>
    </cfRule>
  </conditionalFormatting>
  <conditionalFormatting sqref="BE85">
    <cfRule type="expression" dxfId="54" priority="968" stopIfTrue="1">
      <formula>$BE$85="B"</formula>
    </cfRule>
  </conditionalFormatting>
  <conditionalFormatting sqref="BF85">
    <cfRule type="expression" dxfId="53" priority="969" stopIfTrue="1">
      <formula>$BF$85="P"</formula>
    </cfRule>
  </conditionalFormatting>
  <conditionalFormatting sqref="BF85">
    <cfRule type="expression" dxfId="52" priority="970" stopIfTrue="1">
      <formula>$BF$85="B"</formula>
    </cfRule>
  </conditionalFormatting>
  <conditionalFormatting sqref="BG85">
    <cfRule type="expression" dxfId="51" priority="971" stopIfTrue="1">
      <formula>$BG$85="P"</formula>
    </cfRule>
  </conditionalFormatting>
  <conditionalFormatting sqref="BG85">
    <cfRule type="expression" dxfId="50" priority="972" stopIfTrue="1">
      <formula>$BG$85="B"</formula>
    </cfRule>
  </conditionalFormatting>
  <conditionalFormatting sqref="BH85">
    <cfRule type="expression" dxfId="49" priority="973" stopIfTrue="1">
      <formula>$BH$85="P"</formula>
    </cfRule>
  </conditionalFormatting>
  <conditionalFormatting sqref="BH85">
    <cfRule type="expression" dxfId="48" priority="974" stopIfTrue="1">
      <formula>$BH$85="B"</formula>
    </cfRule>
  </conditionalFormatting>
  <conditionalFormatting sqref="BI85">
    <cfRule type="expression" dxfId="47" priority="975" stopIfTrue="1">
      <formula>$BI$85="P"</formula>
    </cfRule>
  </conditionalFormatting>
  <conditionalFormatting sqref="BI85">
    <cfRule type="expression" dxfId="46" priority="976" stopIfTrue="1">
      <formula>$BI$85="B"</formula>
    </cfRule>
  </conditionalFormatting>
  <conditionalFormatting sqref="BJ85">
    <cfRule type="expression" dxfId="45" priority="977" stopIfTrue="1">
      <formula>$BJ$85="P"</formula>
    </cfRule>
  </conditionalFormatting>
  <conditionalFormatting sqref="BJ85">
    <cfRule type="expression" dxfId="44" priority="978" stopIfTrue="1">
      <formula>$BJ$85="B"</formula>
    </cfRule>
  </conditionalFormatting>
  <conditionalFormatting sqref="BK85">
    <cfRule type="expression" dxfId="43" priority="979" stopIfTrue="1">
      <formula>$BK$85="P"</formula>
    </cfRule>
  </conditionalFormatting>
  <conditionalFormatting sqref="BK85">
    <cfRule type="expression" dxfId="42" priority="980" stopIfTrue="1">
      <formula>$BK$85="B"</formula>
    </cfRule>
  </conditionalFormatting>
  <conditionalFormatting sqref="BB86">
    <cfRule type="expression" dxfId="41" priority="981" stopIfTrue="1">
      <formula>$BB$86="P"</formula>
    </cfRule>
  </conditionalFormatting>
  <conditionalFormatting sqref="BB86">
    <cfRule type="expression" dxfId="40" priority="982" stopIfTrue="1">
      <formula>$BB$86="B"</formula>
    </cfRule>
  </conditionalFormatting>
  <conditionalFormatting sqref="BC86">
    <cfRule type="expression" dxfId="39" priority="983" stopIfTrue="1">
      <formula>$BC$86="P"</formula>
    </cfRule>
  </conditionalFormatting>
  <conditionalFormatting sqref="BC86">
    <cfRule type="expression" dxfId="38" priority="984" stopIfTrue="1">
      <formula>$BC$86="B"</formula>
    </cfRule>
  </conditionalFormatting>
  <conditionalFormatting sqref="BD86">
    <cfRule type="expression" dxfId="37" priority="985" stopIfTrue="1">
      <formula>$BD$86="P"</formula>
    </cfRule>
  </conditionalFormatting>
  <conditionalFormatting sqref="BD86">
    <cfRule type="expression" dxfId="36" priority="986" stopIfTrue="1">
      <formula>$BD$86="B"</formula>
    </cfRule>
  </conditionalFormatting>
  <conditionalFormatting sqref="BE86">
    <cfRule type="expression" dxfId="35" priority="987" stopIfTrue="1">
      <formula>$BE$86="P"</formula>
    </cfRule>
  </conditionalFormatting>
  <conditionalFormatting sqref="BE86">
    <cfRule type="expression" dxfId="34" priority="988" stopIfTrue="1">
      <formula>$BE$86="B"</formula>
    </cfRule>
  </conditionalFormatting>
  <conditionalFormatting sqref="BF86">
    <cfRule type="expression" dxfId="33" priority="989" stopIfTrue="1">
      <formula>$BF$86="P"</formula>
    </cfRule>
  </conditionalFormatting>
  <conditionalFormatting sqref="BF86">
    <cfRule type="expression" dxfId="32" priority="990" stopIfTrue="1">
      <formula>$BF$86="B"</formula>
    </cfRule>
  </conditionalFormatting>
  <conditionalFormatting sqref="BG86">
    <cfRule type="expression" dxfId="31" priority="991" stopIfTrue="1">
      <formula>$BG$86="P"</formula>
    </cfRule>
  </conditionalFormatting>
  <conditionalFormatting sqref="BG86">
    <cfRule type="expression" dxfId="30" priority="992" stopIfTrue="1">
      <formula>$BG$86="B"</formula>
    </cfRule>
  </conditionalFormatting>
  <conditionalFormatting sqref="BH86">
    <cfRule type="expression" dxfId="29" priority="993" stopIfTrue="1">
      <formula>$BH$86="P"</formula>
    </cfRule>
  </conditionalFormatting>
  <conditionalFormatting sqref="BH86">
    <cfRule type="expression" dxfId="28" priority="994" stopIfTrue="1">
      <formula>$BH$86="B"</formula>
    </cfRule>
  </conditionalFormatting>
  <conditionalFormatting sqref="BI86">
    <cfRule type="expression" dxfId="27" priority="995" stopIfTrue="1">
      <formula>$BI$86="P"</formula>
    </cfRule>
  </conditionalFormatting>
  <conditionalFormatting sqref="BI86">
    <cfRule type="expression" dxfId="26" priority="996" stopIfTrue="1">
      <formula>$BI$86="B"</formula>
    </cfRule>
  </conditionalFormatting>
  <conditionalFormatting sqref="BJ86">
    <cfRule type="expression" dxfId="25" priority="997" stopIfTrue="1">
      <formula>$BJ$86="P"</formula>
    </cfRule>
  </conditionalFormatting>
  <conditionalFormatting sqref="BJ86">
    <cfRule type="expression" dxfId="24" priority="998" stopIfTrue="1">
      <formula>$BJ$86="B"</formula>
    </cfRule>
  </conditionalFormatting>
  <conditionalFormatting sqref="BK86">
    <cfRule type="expression" dxfId="23" priority="999" stopIfTrue="1">
      <formula>$BK$86="P"</formula>
    </cfRule>
  </conditionalFormatting>
  <conditionalFormatting sqref="BK86">
    <cfRule type="expression" dxfId="22" priority="1000" stopIfTrue="1">
      <formula>$BK$86="B"</formula>
    </cfRule>
  </conditionalFormatting>
  <conditionalFormatting sqref="D86">
    <cfRule type="expression" dxfId="21" priority="1001" stopIfTrue="1">
      <formula>$D$86="P"</formula>
    </cfRule>
  </conditionalFormatting>
  <conditionalFormatting sqref="D86">
    <cfRule type="expression" dxfId="20" priority="1002" stopIfTrue="1">
      <formula>$D$86="B"</formula>
    </cfRule>
  </conditionalFormatting>
  <conditionalFormatting sqref="E86">
    <cfRule type="expression" dxfId="19" priority="1003" stopIfTrue="1">
      <formula>$E$86="P"</formula>
    </cfRule>
  </conditionalFormatting>
  <conditionalFormatting sqref="E86">
    <cfRule type="expression" dxfId="18" priority="1004" stopIfTrue="1">
      <formula>$E$86="B"</formula>
    </cfRule>
  </conditionalFormatting>
  <conditionalFormatting sqref="F86">
    <cfRule type="expression" dxfId="17" priority="1005" stopIfTrue="1">
      <formula>$F$86="P"</formula>
    </cfRule>
  </conditionalFormatting>
  <conditionalFormatting sqref="F86">
    <cfRule type="expression" dxfId="16" priority="1006" stopIfTrue="1">
      <formula>$F$86="B"</formula>
    </cfRule>
  </conditionalFormatting>
  <conditionalFormatting sqref="G86">
    <cfRule type="expression" dxfId="15" priority="1007" stopIfTrue="1">
      <formula>$G$86="P"</formula>
    </cfRule>
  </conditionalFormatting>
  <conditionalFormatting sqref="G86">
    <cfRule type="expression" dxfId="14" priority="1008" stopIfTrue="1">
      <formula>$G$86="B"</formula>
    </cfRule>
  </conditionalFormatting>
  <conditionalFormatting sqref="H86">
    <cfRule type="expression" dxfId="13" priority="1009" stopIfTrue="1">
      <formula>$H$86="P"</formula>
    </cfRule>
  </conditionalFormatting>
  <conditionalFormatting sqref="H86">
    <cfRule type="expression" dxfId="12" priority="1010" stopIfTrue="1">
      <formula>$H$86="B"</formula>
    </cfRule>
  </conditionalFormatting>
  <conditionalFormatting sqref="I86">
    <cfRule type="expression" dxfId="11" priority="1011" stopIfTrue="1">
      <formula>$I$86="P"</formula>
    </cfRule>
  </conditionalFormatting>
  <conditionalFormatting sqref="I86">
    <cfRule type="expression" dxfId="10" priority="1012" stopIfTrue="1">
      <formula>$I$86="B"</formula>
    </cfRule>
  </conditionalFormatting>
  <conditionalFormatting sqref="J86">
    <cfRule type="expression" dxfId="9" priority="1013" stopIfTrue="1">
      <formula>$J$86="P"</formula>
    </cfRule>
  </conditionalFormatting>
  <conditionalFormatting sqref="J86">
    <cfRule type="expression" dxfId="8" priority="1014" stopIfTrue="1">
      <formula>$J$86="B"</formula>
    </cfRule>
  </conditionalFormatting>
  <conditionalFormatting sqref="K86">
    <cfRule type="expression" dxfId="7" priority="1015" stopIfTrue="1">
      <formula>$K$86="P"</formula>
    </cfRule>
  </conditionalFormatting>
  <conditionalFormatting sqref="K86">
    <cfRule type="expression" dxfId="6" priority="1016" stopIfTrue="1">
      <formula>$K$86="B"</formula>
    </cfRule>
  </conditionalFormatting>
  <conditionalFormatting sqref="L86">
    <cfRule type="expression" dxfId="5" priority="1017" stopIfTrue="1">
      <formula>$L$86="P"</formula>
    </cfRule>
  </conditionalFormatting>
  <conditionalFormatting sqref="L86">
    <cfRule type="expression" dxfId="4" priority="1018" stopIfTrue="1">
      <formula>$L$86="B"</formula>
    </cfRule>
  </conditionalFormatting>
  <conditionalFormatting sqref="M86">
    <cfRule type="expression" dxfId="3" priority="1019" stopIfTrue="1">
      <formula>$M$86="P"</formula>
    </cfRule>
  </conditionalFormatting>
  <conditionalFormatting sqref="M86">
    <cfRule type="expression" dxfId="2" priority="1020" stopIfTrue="1">
      <formula>$M$86="B"</formula>
    </cfRule>
  </conditionalFormatting>
  <conditionalFormatting sqref="D87:BK87">
    <cfRule type="iconSet" priority="1">
      <iconSet iconSet="3Symbols2" showValue="0">
        <cfvo type="percent" val="0"/>
        <cfvo type="percent" val="33"/>
        <cfvo type="num" val="0" gte="0"/>
      </iconSet>
    </cfRule>
  </conditionalFormatting>
  <dataValidations count="4">
    <dataValidation type="list" showInputMessage="1" showErrorMessage="1" sqref="C6:C11">
      <formula1>"running,failing"</formula1>
    </dataValidation>
    <dataValidation type="list" showInputMessage="1" showErrorMessage="1" sqref="C31:C36">
      <formula1>"running,failing"</formula1>
    </dataValidation>
    <dataValidation type="list" showInputMessage="1" showErrorMessage="1" sqref="C56:C61">
      <formula1>"running,failing"</formula1>
    </dataValidation>
    <dataValidation type="list" showInputMessage="1" showErrorMessage="1" sqref="C81:C86">
      <formula1>"running,failing"</formula1>
    </dataValidation>
  </dataValidations>
  <pageMargins left="0.7" right="0.7" top="0.75" bottom="0.75" header="0.3" footer="0.3"/>
  <pageSetup paperSize="9" orientation="portrait" horizontalDpi="0" verticalDpi="0"/>
  <extLst>
    <ext xmlns:x14="http://schemas.microsoft.com/office/spreadsheetml/2009/9/main" uri="{78C0D931-6437-407d-A8EE-F0AAD7539E65}">
      <x14:conditionalFormattings>
        <x14:conditionalFormatting xmlns:xm="http://schemas.microsoft.com/office/excel/2006/main">
          <x14:cfRule type="iconSet" priority="5" id="{FEF2A150-BC42-E14A-8B16-02DBC44083B4}">
            <x14:iconSet iconSet="3Flags" showValue="0" custom="1">
              <x14:cfvo type="percent">
                <xm:f>0</xm:f>
              </x14:cfvo>
              <x14:cfvo type="num" gte="0">
                <xm:f>0</xm:f>
              </x14:cfvo>
              <x14:cfvo type="num">
                <xm:f>1</xm:f>
              </x14:cfvo>
              <x14:cfIcon iconSet="3Flags" iconId="0"/>
              <x14:cfIcon iconSet="3Flags" iconId="1"/>
              <x14:cfIcon iconSet="NoIcons" iconId="0"/>
            </x14:iconSet>
          </x14:cfRule>
          <xm:sqref>D5:BA5</xm:sqref>
        </x14:conditionalFormatting>
        <x14:conditionalFormatting xmlns:xm="http://schemas.microsoft.com/office/excel/2006/main">
          <x14:cfRule type="iconSet" priority="6" id="{3A1FBE34-15BC-984B-863B-16A263FF914B}">
            <x14:iconSet iconSet="3Flags" showValue="0" custom="1">
              <x14:cfvo type="percent">
                <xm:f>0</xm:f>
              </x14:cfvo>
              <x14:cfvo type="num" gte="0">
                <xm:f>0</xm:f>
              </x14:cfvo>
              <x14:cfvo type="num">
                <xm:f>1</xm:f>
              </x14:cfvo>
              <x14:cfIcon iconSet="3Flags" iconId="0"/>
              <x14:cfIcon iconSet="3Flags" iconId="1"/>
              <x14:cfIcon iconSet="NoIcons" iconId="0"/>
            </x14:iconSet>
          </x14:cfRule>
          <xm:sqref>BB5:BK5</xm:sqref>
        </x14:conditionalFormatting>
        <x14:conditionalFormatting xmlns:xm="http://schemas.microsoft.com/office/excel/2006/main">
          <x14:cfRule type="iconSet" priority="259" id="{37C01B30-3340-F34E-B351-E151A848E26C}">
            <x14:iconSet iconSet="3Flags" showValue="0" custom="1">
              <x14:cfvo type="percent">
                <xm:f>0</xm:f>
              </x14:cfvo>
              <x14:cfvo type="num" gte="0">
                <xm:f>0</xm:f>
              </x14:cfvo>
              <x14:cfvo type="num">
                <xm:f>1</xm:f>
              </x14:cfvo>
              <x14:cfIcon iconSet="3Flags" iconId="0"/>
              <x14:cfIcon iconSet="3Flags" iconId="1"/>
              <x14:cfIcon iconSet="NoIcons" iconId="0"/>
            </x14:iconSet>
          </x14:cfRule>
          <xm:sqref>D30:BA30</xm:sqref>
        </x14:conditionalFormatting>
        <x14:conditionalFormatting xmlns:xm="http://schemas.microsoft.com/office/excel/2006/main">
          <x14:cfRule type="iconSet" priority="260" id="{EC12865F-FF9A-074D-A3E7-0552C508117E}">
            <x14:iconSet iconSet="3Flags" showValue="0" custom="1">
              <x14:cfvo type="percent">
                <xm:f>0</xm:f>
              </x14:cfvo>
              <x14:cfvo type="num" gte="0">
                <xm:f>0</xm:f>
              </x14:cfvo>
              <x14:cfvo type="num">
                <xm:f>1</xm:f>
              </x14:cfvo>
              <x14:cfIcon iconSet="3Flags" iconId="0"/>
              <x14:cfIcon iconSet="3Flags" iconId="1"/>
              <x14:cfIcon iconSet="NoIcons" iconId="0"/>
            </x14:iconSet>
          </x14:cfRule>
          <xm:sqref>BB30:BK30</xm:sqref>
        </x14:conditionalFormatting>
        <x14:conditionalFormatting xmlns:xm="http://schemas.microsoft.com/office/excel/2006/main">
          <x14:cfRule type="iconSet" priority="513" id="{C5AD6D0A-7113-6E48-BA97-1D3B3B07F791}">
            <x14:iconSet iconSet="3Flags" showValue="0" custom="1">
              <x14:cfvo type="percent">
                <xm:f>0</xm:f>
              </x14:cfvo>
              <x14:cfvo type="num" gte="0">
                <xm:f>0</xm:f>
              </x14:cfvo>
              <x14:cfvo type="num">
                <xm:f>1</xm:f>
              </x14:cfvo>
              <x14:cfIcon iconSet="3Flags" iconId="0"/>
              <x14:cfIcon iconSet="3Flags" iconId="1"/>
              <x14:cfIcon iconSet="NoIcons" iconId="0"/>
            </x14:iconSet>
          </x14:cfRule>
          <xm:sqref>D55:BA55</xm:sqref>
        </x14:conditionalFormatting>
        <x14:conditionalFormatting xmlns:xm="http://schemas.microsoft.com/office/excel/2006/main">
          <x14:cfRule type="iconSet" priority="514" id="{7CCEDE5D-54EA-6141-AFB5-EF5A67BB9A91}">
            <x14:iconSet iconSet="3Flags" showValue="0" custom="1">
              <x14:cfvo type="percent">
                <xm:f>0</xm:f>
              </x14:cfvo>
              <x14:cfvo type="num" gte="0">
                <xm:f>0</xm:f>
              </x14:cfvo>
              <x14:cfvo type="num">
                <xm:f>1</xm:f>
              </x14:cfvo>
              <x14:cfIcon iconSet="3Flags" iconId="0"/>
              <x14:cfIcon iconSet="3Flags" iconId="1"/>
              <x14:cfIcon iconSet="NoIcons" iconId="0"/>
            </x14:iconSet>
          </x14:cfRule>
          <xm:sqref>BB55:BK55</xm:sqref>
        </x14:conditionalFormatting>
        <x14:conditionalFormatting xmlns:xm="http://schemas.microsoft.com/office/excel/2006/main">
          <x14:cfRule type="iconSet" priority="767" id="{18D96C57-F964-E641-93B5-628550B8E381}">
            <x14:iconSet iconSet="3Flags" showValue="0" custom="1">
              <x14:cfvo type="percent">
                <xm:f>0</xm:f>
              </x14:cfvo>
              <x14:cfvo type="num" gte="0">
                <xm:f>0</xm:f>
              </x14:cfvo>
              <x14:cfvo type="num">
                <xm:f>1</xm:f>
              </x14:cfvo>
              <x14:cfIcon iconSet="3Flags" iconId="0"/>
              <x14:cfIcon iconSet="3Flags" iconId="1"/>
              <x14:cfIcon iconSet="NoIcons" iconId="0"/>
            </x14:iconSet>
          </x14:cfRule>
          <xm:sqref>D80:BA80</xm:sqref>
        </x14:conditionalFormatting>
        <x14:conditionalFormatting xmlns:xm="http://schemas.microsoft.com/office/excel/2006/main">
          <x14:cfRule type="iconSet" priority="768" id="{24394FA6-11BD-DD47-815A-4ECD70F988DE}">
            <x14:iconSet iconSet="3Flags" showValue="0" custom="1">
              <x14:cfvo type="percent">
                <xm:f>0</xm:f>
              </x14:cfvo>
              <x14:cfvo type="num" gte="0">
                <xm:f>0</xm:f>
              </x14:cfvo>
              <x14:cfvo type="num">
                <xm:f>1</xm:f>
              </x14:cfvo>
              <x14:cfIcon iconSet="3Flags" iconId="0"/>
              <x14:cfIcon iconSet="3Flags" iconId="1"/>
              <x14:cfIcon iconSet="NoIcons" iconId="0"/>
            </x14:iconSet>
          </x14:cfRule>
          <xm:sqref>BB80:BK80</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7" tint="-0.249977111117893"/>
  </sheetPr>
  <dimension ref="A1:M524"/>
  <sheetViews>
    <sheetView workbookViewId="0">
      <selection activeCell="E1" sqref="E1:E1048576"/>
    </sheetView>
  </sheetViews>
  <sheetFormatPr defaultColWidth="10.875" defaultRowHeight="15.75" x14ac:dyDescent="0.25"/>
  <cols>
    <col min="1" max="1" width="8.125" style="65" bestFit="1" customWidth="1"/>
    <col min="2" max="2" width="33.625" style="65" bestFit="1" customWidth="1"/>
    <col min="3" max="3" width="20.5" style="65" customWidth="1"/>
    <col min="4" max="4" width="10.875" style="46" customWidth="1"/>
    <col min="5" max="16384" width="10.875" style="68"/>
  </cols>
  <sheetData>
    <row r="1" spans="1:13" s="71" customFormat="1" ht="51" customHeight="1" thickBot="1" x14ac:dyDescent="0.3">
      <c r="A1" s="45"/>
      <c r="B1" s="45"/>
      <c r="C1" s="45"/>
      <c r="D1" s="47" t="str">
        <f>"#"&amp;COLUMN($D$1)-3&amp;" (DEFAULT)"</f>
        <v>#1 (DEFAULT)</v>
      </c>
    </row>
    <row r="2" spans="1:13" ht="26.1" customHeight="1" x14ac:dyDescent="0.25">
      <c r="A2" s="102" t="s">
        <v>72</v>
      </c>
      <c r="B2" s="27" t="s">
        <v>0</v>
      </c>
      <c r="C2" s="51" t="s">
        <v>103</v>
      </c>
      <c r="D2" s="52">
        <v>6</v>
      </c>
      <c r="E2" s="69"/>
      <c r="F2" s="69"/>
      <c r="G2" s="69"/>
      <c r="H2" s="69"/>
      <c r="I2" s="69"/>
      <c r="J2" s="69"/>
      <c r="K2" s="69"/>
      <c r="L2" s="69"/>
      <c r="M2" s="69"/>
    </row>
    <row r="3" spans="1:13" ht="26.1" customHeight="1" x14ac:dyDescent="0.25">
      <c r="A3" s="102"/>
      <c r="B3" s="27" t="s">
        <v>1</v>
      </c>
      <c r="C3" s="51" t="s">
        <v>104</v>
      </c>
      <c r="D3" s="52">
        <v>50</v>
      </c>
      <c r="E3" s="69"/>
      <c r="F3" s="69"/>
      <c r="G3" s="69"/>
      <c r="H3" s="69"/>
      <c r="I3" s="69"/>
      <c r="J3" s="69"/>
      <c r="K3" s="69"/>
      <c r="L3" s="69"/>
      <c r="M3" s="69"/>
    </row>
    <row r="4" spans="1:13" ht="26.1" customHeight="1" x14ac:dyDescent="0.25">
      <c r="A4" s="102"/>
      <c r="B4" s="27" t="s">
        <v>2</v>
      </c>
      <c r="C4" s="51" t="s">
        <v>104</v>
      </c>
      <c r="D4" s="52">
        <v>60</v>
      </c>
      <c r="E4" s="69"/>
      <c r="F4" s="69"/>
      <c r="G4" s="69"/>
      <c r="H4" s="69"/>
      <c r="I4" s="69"/>
      <c r="J4" s="69"/>
      <c r="K4" s="69"/>
      <c r="L4" s="69"/>
      <c r="M4" s="69"/>
    </row>
    <row r="5" spans="1:13" ht="26.1" customHeight="1" x14ac:dyDescent="0.25">
      <c r="A5" s="102"/>
      <c r="B5" s="67" t="s">
        <v>88</v>
      </c>
      <c r="C5" s="51" t="s">
        <v>105</v>
      </c>
      <c r="D5" s="52">
        <v>1</v>
      </c>
      <c r="E5" s="69"/>
      <c r="F5" s="69"/>
      <c r="G5" s="69"/>
      <c r="H5" s="69"/>
      <c r="I5" s="69"/>
      <c r="J5" s="69"/>
      <c r="K5" s="69"/>
      <c r="L5" s="69"/>
      <c r="M5" s="69"/>
    </row>
    <row r="6" spans="1:13" ht="26.1" customHeight="1" x14ac:dyDescent="0.25">
      <c r="A6" s="102"/>
      <c r="B6" s="27" t="s">
        <v>3</v>
      </c>
      <c r="C6" s="51" t="s">
        <v>106</v>
      </c>
      <c r="D6" s="52">
        <v>120</v>
      </c>
      <c r="E6" s="69"/>
      <c r="F6" s="69"/>
      <c r="G6" s="69"/>
      <c r="H6" s="69"/>
      <c r="I6" s="69"/>
      <c r="J6" s="69"/>
      <c r="K6" s="69"/>
      <c r="L6" s="69"/>
      <c r="M6" s="69"/>
    </row>
    <row r="7" spans="1:13" ht="26.1" customHeight="1" x14ac:dyDescent="0.25">
      <c r="A7" s="102"/>
      <c r="B7" s="27" t="s">
        <v>4</v>
      </c>
      <c r="C7" s="51" t="s">
        <v>107</v>
      </c>
      <c r="D7" s="52">
        <v>20</v>
      </c>
      <c r="E7" s="69"/>
      <c r="F7" s="69"/>
      <c r="G7" s="69"/>
      <c r="H7" s="69"/>
      <c r="I7" s="69"/>
      <c r="J7" s="69"/>
      <c r="K7" s="69"/>
      <c r="L7" s="69"/>
      <c r="M7" s="69"/>
    </row>
    <row r="8" spans="1:13" ht="26.1" customHeight="1" x14ac:dyDescent="0.25">
      <c r="B8" s="14"/>
      <c r="C8" s="51"/>
      <c r="D8" s="52"/>
      <c r="E8" s="69"/>
      <c r="F8" s="69"/>
      <c r="G8" s="69"/>
      <c r="H8" s="69"/>
      <c r="I8" s="69"/>
      <c r="J8" s="69"/>
      <c r="K8" s="69"/>
      <c r="L8" s="69"/>
      <c r="M8" s="69"/>
    </row>
    <row r="9" spans="1:13" ht="26.1" customHeight="1" x14ac:dyDescent="0.25">
      <c r="A9" s="102" t="s">
        <v>73</v>
      </c>
      <c r="B9" s="27" t="s">
        <v>17</v>
      </c>
      <c r="C9" s="51" t="s">
        <v>108</v>
      </c>
      <c r="D9" s="52">
        <v>100</v>
      </c>
      <c r="E9" s="69"/>
      <c r="F9" s="69"/>
      <c r="G9" s="69"/>
      <c r="H9" s="69"/>
      <c r="I9" s="69"/>
      <c r="J9" s="69"/>
      <c r="K9" s="69"/>
      <c r="L9" s="69"/>
      <c r="M9" s="69"/>
    </row>
    <row r="10" spans="1:13" ht="26.1" customHeight="1" x14ac:dyDescent="0.25">
      <c r="A10" s="102"/>
      <c r="B10" s="103" t="s">
        <v>18</v>
      </c>
      <c r="C10" s="51" t="s">
        <v>112</v>
      </c>
      <c r="D10" s="52">
        <v>83.333333333333343</v>
      </c>
      <c r="E10" s="69"/>
      <c r="F10" s="69"/>
      <c r="G10" s="69"/>
      <c r="H10" s="69"/>
      <c r="I10" s="69"/>
      <c r="J10" s="69"/>
      <c r="K10" s="69"/>
      <c r="L10" s="69"/>
      <c r="M10" s="69"/>
    </row>
    <row r="11" spans="1:13" ht="26.1" customHeight="1" x14ac:dyDescent="0.25">
      <c r="A11" s="102"/>
      <c r="B11" s="103"/>
      <c r="C11" s="51" t="s">
        <v>109</v>
      </c>
      <c r="D11" s="52">
        <v>50</v>
      </c>
      <c r="E11" s="69"/>
      <c r="F11" s="69"/>
      <c r="G11" s="69"/>
      <c r="H11" s="69"/>
      <c r="I11" s="69"/>
      <c r="J11" s="69"/>
      <c r="K11" s="69"/>
      <c r="L11" s="69"/>
      <c r="M11" s="69"/>
    </row>
    <row r="12" spans="1:13" ht="26.1" customHeight="1" x14ac:dyDescent="0.25">
      <c r="A12" s="102"/>
      <c r="B12" s="104" t="s">
        <v>66</v>
      </c>
      <c r="C12" s="51" t="s">
        <v>112</v>
      </c>
      <c r="D12" s="52">
        <v>16.666666666666657</v>
      </c>
      <c r="E12" s="69"/>
      <c r="F12" s="69"/>
      <c r="G12" s="69"/>
      <c r="H12" s="69"/>
      <c r="I12" s="69"/>
      <c r="J12" s="69"/>
      <c r="K12" s="69"/>
      <c r="L12" s="69"/>
      <c r="M12" s="69"/>
    </row>
    <row r="13" spans="1:13" ht="26.1" customHeight="1" x14ac:dyDescent="0.25">
      <c r="A13" s="102"/>
      <c r="B13" s="104"/>
      <c r="C13" s="51" t="s">
        <v>109</v>
      </c>
      <c r="D13" s="52">
        <v>10</v>
      </c>
      <c r="E13" s="69"/>
      <c r="F13" s="69"/>
      <c r="G13" s="69"/>
      <c r="H13" s="69"/>
      <c r="I13" s="69"/>
      <c r="J13" s="69"/>
      <c r="K13" s="69"/>
      <c r="L13" s="69"/>
      <c r="M13" s="69"/>
    </row>
    <row r="14" spans="1:13" ht="26.1" customHeight="1" x14ac:dyDescent="0.25">
      <c r="A14" s="102"/>
      <c r="B14" s="67" t="s">
        <v>101</v>
      </c>
      <c r="C14" s="51" t="s">
        <v>109</v>
      </c>
      <c r="D14" s="52">
        <v>0</v>
      </c>
      <c r="E14" s="69"/>
      <c r="F14" s="69"/>
      <c r="G14" s="69"/>
      <c r="H14" s="69"/>
      <c r="I14" s="69"/>
      <c r="J14" s="69"/>
      <c r="K14" s="69"/>
      <c r="L14" s="69"/>
      <c r="M14" s="69"/>
    </row>
    <row r="15" spans="1:13" ht="26.1" customHeight="1" x14ac:dyDescent="0.25">
      <c r="A15" s="102"/>
      <c r="B15" s="104" t="s">
        <v>19</v>
      </c>
      <c r="C15" s="51" t="s">
        <v>113</v>
      </c>
      <c r="D15" s="52">
        <v>58.333333333333329</v>
      </c>
      <c r="E15" s="69"/>
      <c r="F15" s="69"/>
      <c r="G15" s="69"/>
      <c r="H15" s="69"/>
      <c r="I15" s="69"/>
      <c r="J15" s="69"/>
      <c r="K15" s="69"/>
      <c r="L15" s="69"/>
      <c r="M15" s="69"/>
    </row>
    <row r="16" spans="1:13" ht="26.1" customHeight="1" x14ac:dyDescent="0.25">
      <c r="A16" s="102"/>
      <c r="B16" s="104"/>
      <c r="C16" s="51" t="s">
        <v>110</v>
      </c>
      <c r="D16" s="52">
        <v>70</v>
      </c>
      <c r="E16" s="69"/>
      <c r="F16" s="69"/>
      <c r="G16" s="69"/>
      <c r="H16" s="69"/>
      <c r="I16" s="69"/>
      <c r="J16" s="69"/>
      <c r="K16" s="69"/>
      <c r="L16" s="69"/>
      <c r="M16" s="69"/>
    </row>
    <row r="17" spans="1:13" ht="26.1" customHeight="1" x14ac:dyDescent="0.25">
      <c r="A17" s="102"/>
      <c r="B17" s="103" t="s">
        <v>32</v>
      </c>
      <c r="C17" s="51" t="s">
        <v>114</v>
      </c>
      <c r="D17" s="52">
        <v>33.333333333333329</v>
      </c>
      <c r="E17" s="69"/>
      <c r="F17" s="69"/>
      <c r="G17" s="69"/>
      <c r="H17" s="69"/>
      <c r="I17" s="69"/>
      <c r="J17" s="69"/>
      <c r="K17" s="69"/>
      <c r="L17" s="69"/>
      <c r="M17" s="69"/>
    </row>
    <row r="18" spans="1:13" ht="26.1" customHeight="1" x14ac:dyDescent="0.25">
      <c r="A18" s="102"/>
      <c r="B18" s="103"/>
      <c r="C18" s="51" t="s">
        <v>111</v>
      </c>
      <c r="D18" s="52">
        <v>2</v>
      </c>
      <c r="E18" s="69"/>
      <c r="F18" s="69"/>
      <c r="G18" s="69"/>
      <c r="H18" s="69"/>
      <c r="I18" s="69"/>
      <c r="J18" s="69"/>
      <c r="K18" s="69"/>
      <c r="L18" s="69"/>
      <c r="M18" s="69"/>
    </row>
    <row r="19" spans="1:13" ht="26.1" customHeight="1" x14ac:dyDescent="0.25">
      <c r="A19" s="102"/>
      <c r="B19" s="103" t="s">
        <v>33</v>
      </c>
      <c r="C19" s="51" t="s">
        <v>114</v>
      </c>
      <c r="D19" s="52">
        <v>50</v>
      </c>
      <c r="E19" s="69"/>
      <c r="F19" s="69"/>
      <c r="G19" s="69"/>
      <c r="H19" s="69"/>
      <c r="I19" s="69"/>
      <c r="J19" s="69"/>
      <c r="K19" s="69"/>
      <c r="L19" s="69"/>
      <c r="M19" s="69"/>
    </row>
    <row r="20" spans="1:13" ht="26.1" customHeight="1" x14ac:dyDescent="0.25">
      <c r="A20" s="102"/>
      <c r="B20" s="103"/>
      <c r="C20" s="51" t="s">
        <v>111</v>
      </c>
      <c r="D20" s="52">
        <v>3</v>
      </c>
      <c r="E20" s="69"/>
      <c r="F20" s="69"/>
      <c r="G20" s="69"/>
      <c r="H20" s="69"/>
      <c r="I20" s="69"/>
      <c r="J20" s="69"/>
      <c r="K20" s="69"/>
      <c r="L20" s="69"/>
      <c r="M20" s="69"/>
    </row>
    <row r="21" spans="1:13" ht="26.1" customHeight="1" x14ac:dyDescent="0.25">
      <c r="A21" s="102"/>
      <c r="B21" s="103" t="s">
        <v>89</v>
      </c>
      <c r="C21" s="51" t="s">
        <v>114</v>
      </c>
      <c r="D21" s="52">
        <v>33.333333333333329</v>
      </c>
      <c r="E21" s="69"/>
      <c r="F21" s="69"/>
      <c r="G21" s="69"/>
      <c r="H21" s="69"/>
      <c r="I21" s="69"/>
      <c r="J21" s="69"/>
      <c r="K21" s="69"/>
      <c r="L21" s="69"/>
      <c r="M21" s="69"/>
    </row>
    <row r="22" spans="1:13" ht="26.1" customHeight="1" thickBot="1" x14ac:dyDescent="0.3">
      <c r="A22" s="83"/>
      <c r="B22" s="103"/>
      <c r="C22" s="51" t="s">
        <v>111</v>
      </c>
      <c r="D22" s="52">
        <v>2</v>
      </c>
      <c r="E22" s="69"/>
      <c r="F22" s="69"/>
      <c r="G22" s="69"/>
      <c r="H22" s="69"/>
      <c r="I22" s="69"/>
      <c r="J22" s="69"/>
      <c r="K22" s="69"/>
      <c r="L22" s="69"/>
      <c r="M22" s="69"/>
    </row>
    <row r="23" spans="1:13" ht="16.5" thickTop="1" x14ac:dyDescent="0.25">
      <c r="B23" s="66"/>
      <c r="C23" s="66"/>
      <c r="D23" s="52"/>
      <c r="E23" s="69"/>
      <c r="F23" s="69"/>
      <c r="G23" s="69"/>
      <c r="H23" s="69"/>
      <c r="I23" s="69"/>
      <c r="J23" s="69"/>
      <c r="K23" s="69"/>
      <c r="L23" s="69"/>
      <c r="M23" s="69"/>
    </row>
    <row r="24" spans="1:13" x14ac:dyDescent="0.25">
      <c r="B24" s="66"/>
      <c r="C24" s="66"/>
      <c r="D24" s="52"/>
      <c r="E24" s="69"/>
      <c r="F24" s="69"/>
      <c r="G24" s="69"/>
      <c r="H24" s="69"/>
      <c r="I24" s="69"/>
      <c r="J24" s="69"/>
      <c r="K24" s="69"/>
      <c r="L24" s="69"/>
      <c r="M24" s="69"/>
    </row>
    <row r="25" spans="1:13" x14ac:dyDescent="0.25">
      <c r="B25" s="66"/>
      <c r="C25" s="66"/>
      <c r="D25" s="52"/>
      <c r="E25" s="69"/>
      <c r="F25" s="69"/>
      <c r="G25" s="69"/>
      <c r="H25" s="69"/>
      <c r="I25" s="69"/>
      <c r="J25" s="69"/>
      <c r="K25" s="69"/>
      <c r="L25" s="69"/>
      <c r="M25" s="69"/>
    </row>
    <row r="26" spans="1:13" x14ac:dyDescent="0.25">
      <c r="B26" s="66"/>
      <c r="C26" s="66"/>
      <c r="D26" s="52"/>
      <c r="E26" s="69"/>
      <c r="F26" s="69"/>
      <c r="G26" s="69"/>
      <c r="H26" s="69"/>
      <c r="I26" s="69"/>
      <c r="J26" s="69"/>
      <c r="K26" s="69"/>
      <c r="L26" s="69"/>
      <c r="M26" s="69"/>
    </row>
    <row r="27" spans="1:13" x14ac:dyDescent="0.25">
      <c r="B27" s="66"/>
      <c r="C27" s="66"/>
      <c r="D27" s="52"/>
      <c r="E27" s="69"/>
      <c r="F27" s="69"/>
      <c r="G27" s="69"/>
      <c r="H27" s="69"/>
      <c r="I27" s="69"/>
      <c r="J27" s="69"/>
      <c r="K27" s="69"/>
      <c r="L27" s="69"/>
      <c r="M27" s="69"/>
    </row>
    <row r="28" spans="1:13" x14ac:dyDescent="0.25">
      <c r="B28" s="66"/>
      <c r="C28" s="66"/>
      <c r="D28" s="52"/>
      <c r="E28" s="69"/>
      <c r="F28" s="69"/>
      <c r="G28" s="69"/>
      <c r="H28" s="69"/>
      <c r="I28" s="69"/>
      <c r="J28" s="69"/>
      <c r="K28" s="69"/>
      <c r="L28" s="69"/>
      <c r="M28" s="69"/>
    </row>
    <row r="29" spans="1:13" x14ac:dyDescent="0.25">
      <c r="B29" s="66"/>
      <c r="C29" s="66"/>
      <c r="D29" s="52"/>
      <c r="E29" s="69"/>
      <c r="F29" s="69"/>
      <c r="G29" s="69"/>
      <c r="H29" s="69"/>
      <c r="I29" s="69"/>
      <c r="J29" s="69"/>
      <c r="K29" s="69"/>
      <c r="L29" s="69"/>
      <c r="M29" s="69"/>
    </row>
    <row r="30" spans="1:13" x14ac:dyDescent="0.25">
      <c r="B30" s="66"/>
      <c r="C30" s="66"/>
      <c r="D30" s="52"/>
      <c r="E30" s="69"/>
      <c r="F30" s="69"/>
      <c r="G30" s="69"/>
      <c r="H30" s="69"/>
      <c r="I30" s="69"/>
      <c r="J30" s="69"/>
      <c r="K30" s="69"/>
      <c r="L30" s="69"/>
      <c r="M30" s="69"/>
    </row>
    <row r="31" spans="1:13" x14ac:dyDescent="0.25">
      <c r="B31" s="66"/>
      <c r="C31" s="66"/>
      <c r="D31" s="52"/>
      <c r="E31" s="69"/>
      <c r="F31" s="69"/>
      <c r="G31" s="69"/>
      <c r="H31" s="69"/>
      <c r="I31" s="69"/>
      <c r="J31" s="69"/>
      <c r="K31" s="69"/>
      <c r="L31" s="69"/>
      <c r="M31" s="69"/>
    </row>
    <row r="32" spans="1:13" x14ac:dyDescent="0.25">
      <c r="B32" s="66"/>
      <c r="C32" s="66"/>
      <c r="D32" s="52"/>
      <c r="E32" s="69"/>
      <c r="F32" s="69"/>
      <c r="G32" s="69"/>
      <c r="H32" s="69"/>
      <c r="I32" s="69"/>
      <c r="J32" s="69"/>
      <c r="K32" s="69"/>
      <c r="L32" s="69"/>
      <c r="M32" s="69"/>
    </row>
    <row r="33" spans="2:13" x14ac:dyDescent="0.25">
      <c r="B33" s="66"/>
      <c r="C33" s="66"/>
      <c r="D33" s="52"/>
      <c r="E33" s="69"/>
      <c r="F33" s="69"/>
      <c r="G33" s="69"/>
      <c r="H33" s="69"/>
      <c r="I33" s="69"/>
      <c r="J33" s="69"/>
      <c r="K33" s="69"/>
      <c r="L33" s="69"/>
      <c r="M33" s="69"/>
    </row>
    <row r="34" spans="2:13" x14ac:dyDescent="0.25">
      <c r="B34" s="66"/>
      <c r="C34" s="66"/>
      <c r="D34" s="52"/>
      <c r="E34" s="69"/>
      <c r="F34" s="69"/>
      <c r="G34" s="69"/>
      <c r="H34" s="69"/>
      <c r="I34" s="69"/>
      <c r="J34" s="69"/>
      <c r="K34" s="69"/>
      <c r="L34" s="69"/>
      <c r="M34" s="69"/>
    </row>
    <row r="35" spans="2:13" x14ac:dyDescent="0.25">
      <c r="B35" s="66"/>
      <c r="C35" s="66"/>
      <c r="D35" s="52"/>
      <c r="E35" s="69"/>
      <c r="F35" s="69"/>
      <c r="G35" s="69"/>
      <c r="H35" s="69"/>
      <c r="I35" s="69"/>
      <c r="J35" s="69"/>
      <c r="K35" s="69"/>
      <c r="L35" s="69"/>
      <c r="M35" s="69"/>
    </row>
    <row r="36" spans="2:13" x14ac:dyDescent="0.25">
      <c r="B36" s="66"/>
      <c r="C36" s="66"/>
      <c r="D36" s="52"/>
      <c r="E36" s="69"/>
      <c r="F36" s="69"/>
      <c r="G36" s="69"/>
      <c r="H36" s="69"/>
      <c r="I36" s="69"/>
      <c r="J36" s="69"/>
      <c r="K36" s="69"/>
      <c r="L36" s="69"/>
      <c r="M36" s="69"/>
    </row>
    <row r="37" spans="2:13" x14ac:dyDescent="0.25">
      <c r="B37" s="66"/>
      <c r="C37" s="66"/>
      <c r="D37" s="52"/>
      <c r="E37" s="69"/>
      <c r="F37" s="69"/>
      <c r="G37" s="69"/>
      <c r="H37" s="69"/>
      <c r="I37" s="69"/>
      <c r="J37" s="69"/>
      <c r="K37" s="69"/>
      <c r="L37" s="69"/>
      <c r="M37" s="69"/>
    </row>
    <row r="38" spans="2:13" x14ac:dyDescent="0.25">
      <c r="B38" s="66"/>
      <c r="C38" s="66"/>
      <c r="D38" s="52"/>
      <c r="E38" s="69"/>
      <c r="F38" s="69"/>
      <c r="G38" s="69"/>
      <c r="H38" s="69"/>
      <c r="I38" s="69"/>
      <c r="J38" s="69"/>
      <c r="K38" s="69"/>
      <c r="L38" s="69"/>
      <c r="M38" s="69"/>
    </row>
    <row r="39" spans="2:13" x14ac:dyDescent="0.25">
      <c r="B39" s="66"/>
      <c r="C39" s="66"/>
      <c r="D39" s="52"/>
      <c r="E39" s="69"/>
      <c r="F39" s="69"/>
      <c r="G39" s="69"/>
      <c r="H39" s="69"/>
      <c r="I39" s="69"/>
      <c r="J39" s="69"/>
      <c r="K39" s="69"/>
      <c r="L39" s="69"/>
      <c r="M39" s="69"/>
    </row>
    <row r="40" spans="2:13" x14ac:dyDescent="0.25">
      <c r="B40" s="66"/>
      <c r="C40" s="66"/>
      <c r="D40" s="52"/>
      <c r="E40" s="69"/>
      <c r="F40" s="69"/>
      <c r="G40" s="69"/>
      <c r="H40" s="69"/>
      <c r="I40" s="69"/>
      <c r="J40" s="69"/>
      <c r="K40" s="69"/>
      <c r="L40" s="69"/>
      <c r="M40" s="69"/>
    </row>
    <row r="41" spans="2:13" x14ac:dyDescent="0.25">
      <c r="B41" s="66"/>
      <c r="C41" s="66"/>
      <c r="D41" s="52"/>
      <c r="E41" s="69"/>
      <c r="F41" s="69"/>
      <c r="G41" s="69"/>
      <c r="H41" s="69"/>
      <c r="I41" s="69"/>
      <c r="J41" s="69"/>
      <c r="K41" s="69"/>
      <c r="L41" s="69"/>
      <c r="M41" s="69"/>
    </row>
    <row r="42" spans="2:13" x14ac:dyDescent="0.25">
      <c r="B42" s="66"/>
      <c r="C42" s="66"/>
      <c r="D42" s="52"/>
      <c r="E42" s="69"/>
      <c r="F42" s="69"/>
      <c r="G42" s="69"/>
      <c r="H42" s="69"/>
      <c r="I42" s="69"/>
      <c r="J42" s="69"/>
      <c r="K42" s="69"/>
      <c r="L42" s="69"/>
      <c r="M42" s="69"/>
    </row>
    <row r="43" spans="2:13" x14ac:dyDescent="0.25">
      <c r="B43" s="66"/>
      <c r="C43" s="66"/>
      <c r="D43" s="52"/>
      <c r="E43" s="69"/>
      <c r="F43" s="69"/>
      <c r="G43" s="69"/>
      <c r="H43" s="69"/>
      <c r="I43" s="69"/>
      <c r="J43" s="69"/>
      <c r="K43" s="69"/>
      <c r="L43" s="69"/>
      <c r="M43" s="69"/>
    </row>
    <row r="44" spans="2:13" x14ac:dyDescent="0.25">
      <c r="B44" s="66"/>
      <c r="C44" s="66"/>
      <c r="D44" s="52"/>
      <c r="E44" s="69"/>
      <c r="F44" s="69"/>
      <c r="G44" s="69"/>
      <c r="H44" s="69"/>
      <c r="I44" s="69"/>
      <c r="J44" s="69"/>
      <c r="K44" s="69"/>
      <c r="L44" s="69"/>
      <c r="M44" s="69"/>
    </row>
    <row r="45" spans="2:13" x14ac:dyDescent="0.25">
      <c r="B45" s="66"/>
      <c r="C45" s="66"/>
      <c r="D45" s="52"/>
      <c r="E45" s="69"/>
      <c r="F45" s="69"/>
      <c r="G45" s="69"/>
      <c r="H45" s="69"/>
      <c r="I45" s="69"/>
      <c r="J45" s="69"/>
      <c r="K45" s="69"/>
      <c r="L45" s="69"/>
      <c r="M45" s="69"/>
    </row>
    <row r="46" spans="2:13" x14ac:dyDescent="0.25">
      <c r="B46" s="66"/>
      <c r="C46" s="66"/>
      <c r="D46" s="52"/>
      <c r="E46" s="69"/>
      <c r="F46" s="69"/>
      <c r="G46" s="69"/>
      <c r="H46" s="69"/>
      <c r="I46" s="69"/>
      <c r="J46" s="69"/>
      <c r="K46" s="69"/>
      <c r="L46" s="69"/>
      <c r="M46" s="69"/>
    </row>
    <row r="47" spans="2:13" x14ac:dyDescent="0.25">
      <c r="B47" s="66"/>
      <c r="C47" s="66"/>
      <c r="D47" s="52"/>
      <c r="E47" s="69"/>
      <c r="F47" s="69"/>
      <c r="G47" s="69"/>
      <c r="H47" s="69"/>
      <c r="I47" s="69"/>
      <c r="J47" s="69"/>
      <c r="K47" s="69"/>
      <c r="L47" s="69"/>
      <c r="M47" s="69"/>
    </row>
    <row r="48" spans="2:13" x14ac:dyDescent="0.25">
      <c r="B48" s="66"/>
      <c r="C48" s="66"/>
      <c r="D48" s="52"/>
      <c r="E48" s="69"/>
      <c r="F48" s="69"/>
      <c r="G48" s="69"/>
      <c r="H48" s="69"/>
      <c r="I48" s="69"/>
      <c r="J48" s="69"/>
      <c r="K48" s="69"/>
      <c r="L48" s="69"/>
      <c r="M48" s="69"/>
    </row>
    <row r="49" spans="2:13" x14ac:dyDescent="0.25">
      <c r="B49" s="66"/>
      <c r="C49" s="66"/>
      <c r="D49" s="52"/>
      <c r="E49" s="69"/>
      <c r="F49" s="69"/>
      <c r="G49" s="69"/>
      <c r="H49" s="69"/>
      <c r="I49" s="69"/>
      <c r="J49" s="69"/>
      <c r="K49" s="69"/>
      <c r="L49" s="69"/>
      <c r="M49" s="69"/>
    </row>
    <row r="50" spans="2:13" x14ac:dyDescent="0.25">
      <c r="B50" s="66"/>
      <c r="C50" s="66"/>
      <c r="D50" s="52"/>
      <c r="E50" s="69"/>
      <c r="F50" s="69"/>
      <c r="G50" s="69"/>
      <c r="H50" s="69"/>
      <c r="I50" s="69"/>
      <c r="J50" s="69"/>
      <c r="K50" s="69"/>
      <c r="L50" s="69"/>
      <c r="M50" s="69"/>
    </row>
    <row r="51" spans="2:13" x14ac:dyDescent="0.25">
      <c r="B51" s="66"/>
      <c r="C51" s="66"/>
      <c r="D51" s="52"/>
      <c r="E51" s="69"/>
      <c r="F51" s="69"/>
      <c r="G51" s="69"/>
      <c r="H51" s="69"/>
      <c r="I51" s="69"/>
      <c r="J51" s="69"/>
      <c r="K51" s="69"/>
      <c r="L51" s="69"/>
      <c r="M51" s="69"/>
    </row>
    <row r="52" spans="2:13" x14ac:dyDescent="0.25">
      <c r="B52" s="66"/>
      <c r="C52" s="66"/>
      <c r="D52" s="52"/>
      <c r="E52" s="69"/>
      <c r="F52" s="69"/>
      <c r="G52" s="69"/>
      <c r="H52" s="69"/>
      <c r="I52" s="69"/>
      <c r="J52" s="69"/>
      <c r="K52" s="69"/>
      <c r="L52" s="69"/>
      <c r="M52" s="69"/>
    </row>
    <row r="53" spans="2:13" x14ac:dyDescent="0.25">
      <c r="B53" s="66"/>
      <c r="C53" s="66"/>
      <c r="D53" s="52"/>
      <c r="E53" s="69"/>
      <c r="F53" s="69"/>
      <c r="G53" s="69"/>
      <c r="H53" s="69"/>
      <c r="I53" s="69"/>
      <c r="J53" s="69"/>
      <c r="K53" s="69"/>
      <c r="L53" s="69"/>
      <c r="M53" s="69"/>
    </row>
    <row r="54" spans="2:13" x14ac:dyDescent="0.25">
      <c r="B54" s="66"/>
      <c r="C54" s="66"/>
      <c r="D54" s="52"/>
      <c r="E54" s="69"/>
      <c r="F54" s="69"/>
      <c r="G54" s="69"/>
      <c r="H54" s="69"/>
      <c r="I54" s="69"/>
      <c r="J54" s="69"/>
      <c r="K54" s="69"/>
      <c r="L54" s="69"/>
      <c r="M54" s="69"/>
    </row>
    <row r="55" spans="2:13" x14ac:dyDescent="0.25">
      <c r="B55" s="66"/>
      <c r="C55" s="66"/>
      <c r="D55" s="52"/>
      <c r="E55" s="69"/>
      <c r="F55" s="69"/>
      <c r="G55" s="69"/>
      <c r="H55" s="69"/>
      <c r="I55" s="69"/>
      <c r="J55" s="69"/>
      <c r="K55" s="69"/>
      <c r="L55" s="69"/>
      <c r="M55" s="69"/>
    </row>
    <row r="56" spans="2:13" x14ac:dyDescent="0.25">
      <c r="B56" s="66"/>
      <c r="C56" s="66"/>
      <c r="D56" s="52"/>
      <c r="E56" s="69"/>
      <c r="F56" s="69"/>
      <c r="G56" s="69"/>
      <c r="H56" s="69"/>
      <c r="I56" s="69"/>
      <c r="J56" s="69"/>
      <c r="K56" s="69"/>
      <c r="L56" s="69"/>
      <c r="M56" s="69"/>
    </row>
    <row r="57" spans="2:13" x14ac:dyDescent="0.25">
      <c r="B57" s="66"/>
      <c r="C57" s="66"/>
      <c r="D57" s="52"/>
      <c r="E57" s="69"/>
      <c r="F57" s="69"/>
      <c r="G57" s="69"/>
      <c r="H57" s="69"/>
      <c r="I57" s="69"/>
      <c r="J57" s="69"/>
      <c r="K57" s="69"/>
      <c r="L57" s="69"/>
      <c r="M57" s="69"/>
    </row>
    <row r="58" spans="2:13" x14ac:dyDescent="0.25">
      <c r="B58" s="66"/>
      <c r="C58" s="66"/>
      <c r="D58" s="52"/>
      <c r="E58" s="69"/>
      <c r="F58" s="69"/>
      <c r="G58" s="69"/>
      <c r="H58" s="69"/>
      <c r="I58" s="69"/>
      <c r="J58" s="69"/>
      <c r="K58" s="69"/>
      <c r="L58" s="69"/>
      <c r="M58" s="69"/>
    </row>
    <row r="59" spans="2:13" x14ac:dyDescent="0.25">
      <c r="B59" s="66"/>
      <c r="C59" s="66"/>
      <c r="D59" s="52"/>
      <c r="E59" s="69"/>
      <c r="F59" s="69"/>
      <c r="G59" s="69"/>
      <c r="H59" s="69"/>
      <c r="I59" s="69"/>
      <c r="J59" s="69"/>
      <c r="K59" s="69"/>
      <c r="L59" s="69"/>
      <c r="M59" s="69"/>
    </row>
    <row r="60" spans="2:13" x14ac:dyDescent="0.25">
      <c r="B60" s="66"/>
      <c r="C60" s="66"/>
      <c r="D60" s="52"/>
      <c r="E60" s="69"/>
      <c r="F60" s="69"/>
      <c r="G60" s="69"/>
      <c r="H60" s="69"/>
      <c r="I60" s="69"/>
      <c r="J60" s="69"/>
      <c r="K60" s="69"/>
      <c r="L60" s="69"/>
      <c r="M60" s="69"/>
    </row>
    <row r="61" spans="2:13" x14ac:dyDescent="0.25">
      <c r="B61" s="66"/>
      <c r="C61" s="66"/>
      <c r="D61" s="52"/>
      <c r="E61" s="69"/>
      <c r="F61" s="69"/>
      <c r="G61" s="69"/>
      <c r="H61" s="69"/>
      <c r="I61" s="69"/>
      <c r="J61" s="69"/>
      <c r="K61" s="69"/>
      <c r="L61" s="69"/>
      <c r="M61" s="69"/>
    </row>
    <row r="62" spans="2:13" x14ac:dyDescent="0.25">
      <c r="B62" s="66"/>
      <c r="C62" s="66"/>
      <c r="D62" s="52"/>
      <c r="E62" s="69"/>
      <c r="F62" s="69"/>
      <c r="G62" s="69"/>
      <c r="H62" s="69"/>
      <c r="I62" s="69"/>
      <c r="J62" s="69"/>
      <c r="K62" s="69"/>
      <c r="L62" s="69"/>
      <c r="M62" s="69"/>
    </row>
    <row r="63" spans="2:13" x14ac:dyDescent="0.25">
      <c r="B63" s="66"/>
      <c r="C63" s="66"/>
      <c r="D63" s="52"/>
      <c r="E63" s="69"/>
      <c r="F63" s="69"/>
      <c r="G63" s="69"/>
      <c r="H63" s="69"/>
      <c r="I63" s="69"/>
      <c r="J63" s="69"/>
      <c r="K63" s="69"/>
      <c r="L63" s="69"/>
      <c r="M63" s="69"/>
    </row>
    <row r="64" spans="2:13" x14ac:dyDescent="0.25">
      <c r="B64" s="66"/>
      <c r="C64" s="66"/>
      <c r="D64" s="52"/>
      <c r="E64" s="69"/>
      <c r="F64" s="69"/>
      <c r="G64" s="69"/>
      <c r="H64" s="69"/>
      <c r="I64" s="69"/>
      <c r="J64" s="69"/>
      <c r="K64" s="69"/>
      <c r="L64" s="69"/>
      <c r="M64" s="69"/>
    </row>
    <row r="65" spans="2:13" x14ac:dyDescent="0.25">
      <c r="B65" s="66"/>
      <c r="C65" s="66"/>
      <c r="D65" s="52"/>
      <c r="E65" s="69"/>
      <c r="F65" s="69"/>
      <c r="G65" s="69"/>
      <c r="H65" s="69"/>
      <c r="I65" s="69"/>
      <c r="J65" s="69"/>
      <c r="K65" s="69"/>
      <c r="L65" s="69"/>
      <c r="M65" s="69"/>
    </row>
    <row r="66" spans="2:13" x14ac:dyDescent="0.25">
      <c r="B66" s="66"/>
      <c r="C66" s="66"/>
      <c r="D66" s="52"/>
      <c r="E66" s="69"/>
      <c r="F66" s="69"/>
      <c r="G66" s="69"/>
      <c r="H66" s="69"/>
      <c r="I66" s="69"/>
      <c r="J66" s="69"/>
      <c r="K66" s="69"/>
      <c r="L66" s="69"/>
      <c r="M66" s="69"/>
    </row>
    <row r="67" spans="2:13" x14ac:dyDescent="0.25">
      <c r="B67" s="66"/>
      <c r="C67" s="66"/>
      <c r="D67" s="52"/>
      <c r="E67" s="69"/>
      <c r="F67" s="69"/>
      <c r="G67" s="69"/>
      <c r="H67" s="69"/>
      <c r="I67" s="69"/>
      <c r="J67" s="69"/>
      <c r="K67" s="69"/>
      <c r="L67" s="69"/>
      <c r="M67" s="69"/>
    </row>
    <row r="68" spans="2:13" x14ac:dyDescent="0.25">
      <c r="B68" s="66"/>
      <c r="C68" s="66"/>
      <c r="D68" s="52"/>
      <c r="E68" s="69"/>
      <c r="F68" s="69"/>
      <c r="G68" s="69"/>
      <c r="H68" s="69"/>
      <c r="I68" s="69"/>
      <c r="J68" s="69"/>
      <c r="K68" s="69"/>
      <c r="L68" s="69"/>
      <c r="M68" s="69"/>
    </row>
    <row r="69" spans="2:13" x14ac:dyDescent="0.25">
      <c r="B69" s="66"/>
      <c r="C69" s="66"/>
      <c r="D69" s="52"/>
      <c r="E69" s="69"/>
      <c r="F69" s="69"/>
      <c r="G69" s="69"/>
      <c r="H69" s="69"/>
      <c r="I69" s="69"/>
      <c r="J69" s="69"/>
      <c r="K69" s="69"/>
      <c r="L69" s="69"/>
      <c r="M69" s="69"/>
    </row>
    <row r="70" spans="2:13" x14ac:dyDescent="0.25">
      <c r="B70" s="66"/>
      <c r="C70" s="66"/>
      <c r="D70" s="52"/>
      <c r="E70" s="69"/>
      <c r="F70" s="69"/>
      <c r="G70" s="69"/>
      <c r="H70" s="69"/>
      <c r="I70" s="69"/>
      <c r="J70" s="69"/>
      <c r="K70" s="69"/>
      <c r="L70" s="69"/>
      <c r="M70" s="69"/>
    </row>
    <row r="71" spans="2:13" x14ac:dyDescent="0.25">
      <c r="B71" s="66"/>
      <c r="C71" s="66"/>
      <c r="D71" s="52"/>
      <c r="E71" s="69"/>
      <c r="F71" s="69"/>
      <c r="G71" s="69"/>
      <c r="H71" s="69"/>
      <c r="I71" s="69"/>
      <c r="J71" s="69"/>
      <c r="K71" s="69"/>
      <c r="L71" s="69"/>
      <c r="M71" s="69"/>
    </row>
    <row r="72" spans="2:13" x14ac:dyDescent="0.25">
      <c r="B72" s="66"/>
      <c r="C72" s="66"/>
      <c r="D72" s="52"/>
      <c r="E72" s="69"/>
      <c r="F72" s="69"/>
      <c r="G72" s="69"/>
      <c r="H72" s="69"/>
      <c r="I72" s="69"/>
      <c r="J72" s="69"/>
      <c r="K72" s="69"/>
      <c r="L72" s="69"/>
      <c r="M72" s="69"/>
    </row>
    <row r="73" spans="2:13" x14ac:dyDescent="0.25">
      <c r="B73" s="66"/>
      <c r="C73" s="66"/>
      <c r="D73" s="52"/>
      <c r="E73" s="69"/>
      <c r="F73" s="69"/>
      <c r="G73" s="69"/>
      <c r="H73" s="69"/>
      <c r="I73" s="69"/>
      <c r="J73" s="69"/>
      <c r="K73" s="69"/>
      <c r="L73" s="69"/>
      <c r="M73" s="69"/>
    </row>
    <row r="74" spans="2:13" x14ac:dyDescent="0.25">
      <c r="B74" s="66"/>
      <c r="C74" s="66"/>
      <c r="D74" s="52"/>
      <c r="E74" s="69"/>
      <c r="F74" s="69"/>
      <c r="G74" s="69"/>
      <c r="H74" s="69"/>
      <c r="I74" s="69"/>
      <c r="J74" s="69"/>
      <c r="K74" s="69"/>
      <c r="L74" s="69"/>
      <c r="M74" s="69"/>
    </row>
    <row r="75" spans="2:13" x14ac:dyDescent="0.25">
      <c r="B75" s="66"/>
      <c r="C75" s="66"/>
      <c r="D75" s="52"/>
      <c r="E75" s="69"/>
      <c r="F75" s="69"/>
      <c r="G75" s="69"/>
      <c r="H75" s="69"/>
      <c r="I75" s="69"/>
      <c r="J75" s="69"/>
      <c r="K75" s="69"/>
      <c r="L75" s="69"/>
      <c r="M75" s="69"/>
    </row>
    <row r="76" spans="2:13" x14ac:dyDescent="0.25">
      <c r="B76" s="66"/>
      <c r="C76" s="66"/>
      <c r="D76" s="52"/>
      <c r="E76" s="69"/>
      <c r="F76" s="69"/>
      <c r="G76" s="69"/>
      <c r="H76" s="69"/>
      <c r="I76" s="69"/>
      <c r="J76" s="69"/>
      <c r="K76" s="69"/>
      <c r="L76" s="69"/>
      <c r="M76" s="69"/>
    </row>
    <row r="77" spans="2:13" x14ac:dyDescent="0.25">
      <c r="B77" s="66"/>
      <c r="C77" s="66"/>
      <c r="D77" s="52"/>
      <c r="E77" s="69"/>
      <c r="F77" s="69"/>
      <c r="G77" s="69"/>
      <c r="H77" s="69"/>
      <c r="I77" s="69"/>
      <c r="J77" s="69"/>
      <c r="K77" s="69"/>
      <c r="L77" s="69"/>
      <c r="M77" s="69"/>
    </row>
    <row r="78" spans="2:13" x14ac:dyDescent="0.25">
      <c r="B78" s="66"/>
      <c r="C78" s="66"/>
      <c r="D78" s="52"/>
      <c r="E78" s="69"/>
      <c r="F78" s="69"/>
      <c r="G78" s="69"/>
      <c r="H78" s="69"/>
      <c r="I78" s="69"/>
      <c r="J78" s="69"/>
      <c r="K78" s="69"/>
      <c r="L78" s="69"/>
      <c r="M78" s="69"/>
    </row>
    <row r="79" spans="2:13" x14ac:dyDescent="0.25">
      <c r="B79" s="66"/>
      <c r="C79" s="66"/>
      <c r="D79" s="52"/>
      <c r="E79" s="69"/>
      <c r="F79" s="69"/>
      <c r="G79" s="69"/>
      <c r="H79" s="69"/>
      <c r="I79" s="69"/>
      <c r="J79" s="69"/>
      <c r="K79" s="69"/>
      <c r="L79" s="69"/>
      <c r="M79" s="69"/>
    </row>
    <row r="80" spans="2:13" x14ac:dyDescent="0.25">
      <c r="B80" s="66"/>
      <c r="C80" s="66"/>
      <c r="D80" s="52"/>
      <c r="E80" s="69"/>
      <c r="F80" s="69"/>
      <c r="G80" s="69"/>
      <c r="H80" s="69"/>
      <c r="I80" s="69"/>
      <c r="J80" s="69"/>
      <c r="K80" s="69"/>
      <c r="L80" s="69"/>
      <c r="M80" s="69"/>
    </row>
    <row r="81" spans="1:13" x14ac:dyDescent="0.25">
      <c r="B81" s="66"/>
      <c r="C81" s="66"/>
      <c r="D81" s="52"/>
      <c r="E81" s="69"/>
      <c r="F81" s="69"/>
      <c r="G81" s="69"/>
      <c r="H81" s="69"/>
      <c r="I81" s="69"/>
      <c r="J81" s="69"/>
      <c r="K81" s="69"/>
      <c r="L81" s="69"/>
      <c r="M81" s="69"/>
    </row>
    <row r="82" spans="1:13" x14ac:dyDescent="0.25">
      <c r="B82" s="66"/>
      <c r="C82" s="66"/>
      <c r="D82" s="52"/>
      <c r="E82" s="69"/>
      <c r="F82" s="69"/>
      <c r="G82" s="69"/>
      <c r="H82" s="69"/>
      <c r="I82" s="69"/>
      <c r="J82" s="69"/>
      <c r="K82" s="69"/>
      <c r="L82" s="69"/>
      <c r="M82" s="69"/>
    </row>
    <row r="83" spans="1:13" x14ac:dyDescent="0.25">
      <c r="B83" s="66"/>
      <c r="C83" s="66"/>
      <c r="D83" s="52"/>
      <c r="E83" s="69"/>
      <c r="F83" s="69"/>
      <c r="G83" s="69"/>
      <c r="H83" s="69"/>
      <c r="I83" s="69"/>
      <c r="J83" s="69"/>
      <c r="K83" s="69"/>
      <c r="L83" s="69"/>
      <c r="M83" s="69"/>
    </row>
    <row r="84" spans="1:13" ht="26.1" customHeight="1" thickBot="1" x14ac:dyDescent="0.3">
      <c r="A84" s="94" t="s">
        <v>69</v>
      </c>
      <c r="B84" s="27" t="s">
        <v>37</v>
      </c>
      <c r="C84" s="51" t="s">
        <v>115</v>
      </c>
      <c r="D84" s="52">
        <v>8</v>
      </c>
      <c r="E84" s="69"/>
      <c r="F84" s="69"/>
      <c r="G84" s="69"/>
      <c r="H84" s="69"/>
      <c r="I84" s="69"/>
      <c r="J84" s="69"/>
      <c r="K84" s="69"/>
      <c r="L84" s="69"/>
      <c r="M84" s="69"/>
    </row>
    <row r="85" spans="1:13" ht="26.1" customHeight="1" thickTop="1" thickBot="1" x14ac:dyDescent="0.3">
      <c r="A85" s="94"/>
      <c r="B85" s="27" t="s">
        <v>38</v>
      </c>
      <c r="C85" s="51" t="s">
        <v>115</v>
      </c>
      <c r="D85" s="52">
        <v>8</v>
      </c>
      <c r="E85" s="69"/>
      <c r="F85" s="69"/>
      <c r="G85" s="69"/>
      <c r="H85" s="69"/>
      <c r="I85" s="69"/>
      <c r="J85" s="69"/>
      <c r="K85" s="69"/>
      <c r="L85" s="69"/>
      <c r="M85" s="69"/>
    </row>
    <row r="86" spans="1:13" ht="26.1" customHeight="1" thickTop="1" thickBot="1" x14ac:dyDescent="0.3">
      <c r="A86" s="94"/>
      <c r="B86" s="27" t="s">
        <v>39</v>
      </c>
      <c r="C86" s="51" t="s">
        <v>115</v>
      </c>
      <c r="D86" s="52">
        <v>4</v>
      </c>
      <c r="E86" s="69"/>
      <c r="F86" s="69"/>
      <c r="G86" s="69"/>
      <c r="H86" s="69"/>
      <c r="I86" s="69"/>
      <c r="J86" s="69"/>
      <c r="K86" s="69"/>
      <c r="L86" s="69"/>
      <c r="M86" s="69"/>
    </row>
    <row r="87" spans="1:13" ht="26.1" customHeight="1" thickTop="1" thickBot="1" x14ac:dyDescent="0.3">
      <c r="A87" s="94"/>
      <c r="B87" s="27" t="s">
        <v>40</v>
      </c>
      <c r="C87" s="51" t="s">
        <v>115</v>
      </c>
      <c r="D87" s="52">
        <v>2</v>
      </c>
      <c r="E87" s="69"/>
      <c r="F87" s="69"/>
      <c r="G87" s="69"/>
      <c r="H87" s="69"/>
      <c r="I87" s="69"/>
      <c r="J87" s="69"/>
      <c r="K87" s="69"/>
      <c r="L87" s="69"/>
      <c r="M87" s="69"/>
    </row>
    <row r="88" spans="1:13" ht="26.1" customHeight="1" thickTop="1" thickBot="1" x14ac:dyDescent="0.3">
      <c r="A88" s="94"/>
      <c r="B88" s="27" t="s">
        <v>41</v>
      </c>
      <c r="C88" s="51" t="s">
        <v>115</v>
      </c>
      <c r="D88" s="52">
        <v>1024</v>
      </c>
      <c r="E88" s="69"/>
      <c r="F88" s="69"/>
      <c r="G88" s="69"/>
      <c r="H88" s="69"/>
      <c r="I88" s="69"/>
      <c r="J88" s="69"/>
      <c r="K88" s="69"/>
      <c r="L88" s="69"/>
      <c r="M88" s="69"/>
    </row>
    <row r="89" spans="1:13" ht="26.1" customHeight="1" thickTop="1" thickBot="1" x14ac:dyDescent="0.3">
      <c r="A89" s="94"/>
      <c r="B89" s="48" t="s">
        <v>45</v>
      </c>
      <c r="C89" s="51" t="s">
        <v>116</v>
      </c>
      <c r="D89" s="52">
        <v>1046</v>
      </c>
      <c r="E89" s="69"/>
      <c r="F89" s="69"/>
      <c r="G89" s="69"/>
      <c r="H89" s="69"/>
      <c r="I89" s="69"/>
      <c r="J89" s="69"/>
      <c r="K89" s="69"/>
      <c r="L89" s="69"/>
      <c r="M89" s="69"/>
    </row>
    <row r="90" spans="1:13" ht="26.1" customHeight="1" thickTop="1" thickBot="1" x14ac:dyDescent="0.3">
      <c r="A90" s="94"/>
      <c r="B90" s="48" t="s">
        <v>46</v>
      </c>
      <c r="C90" s="51" t="s">
        <v>117</v>
      </c>
      <c r="D90" s="52">
        <v>156.9</v>
      </c>
      <c r="E90" s="69"/>
      <c r="F90" s="69"/>
      <c r="G90" s="69"/>
      <c r="H90" s="69"/>
      <c r="I90" s="69"/>
      <c r="J90" s="69"/>
      <c r="K90" s="69"/>
      <c r="L90" s="69"/>
      <c r="M90" s="69"/>
    </row>
    <row r="91" spans="1:13" ht="26.1" customHeight="1" thickTop="1" thickBot="1" x14ac:dyDescent="0.3">
      <c r="A91" s="94" t="s">
        <v>59</v>
      </c>
      <c r="B91" s="27" t="s">
        <v>58</v>
      </c>
      <c r="C91" s="51" t="s">
        <v>115</v>
      </c>
      <c r="D91" s="52">
        <v>4</v>
      </c>
      <c r="E91" s="69"/>
      <c r="F91" s="69"/>
      <c r="G91" s="69"/>
      <c r="H91" s="69"/>
      <c r="I91" s="69"/>
      <c r="J91" s="69"/>
      <c r="K91" s="69"/>
      <c r="L91" s="69"/>
      <c r="M91" s="69"/>
    </row>
    <row r="92" spans="1:13" ht="26.1" customHeight="1" thickTop="1" thickBot="1" x14ac:dyDescent="0.3">
      <c r="A92" s="94"/>
      <c r="B92" s="27" t="s">
        <v>47</v>
      </c>
      <c r="C92" s="51" t="s">
        <v>115</v>
      </c>
      <c r="D92" s="52">
        <v>9414</v>
      </c>
      <c r="E92" s="69"/>
      <c r="F92" s="69"/>
      <c r="G92" s="69"/>
      <c r="H92" s="69"/>
      <c r="I92" s="69"/>
      <c r="J92" s="69"/>
      <c r="K92" s="69"/>
      <c r="L92" s="69"/>
      <c r="M92" s="69"/>
    </row>
    <row r="93" spans="1:13" ht="26.1" customHeight="1" thickTop="1" thickBot="1" x14ac:dyDescent="0.3">
      <c r="A93" s="94"/>
      <c r="B93" s="27" t="s">
        <v>50</v>
      </c>
      <c r="C93" s="51" t="s">
        <v>122</v>
      </c>
      <c r="D93" s="52">
        <v>9418</v>
      </c>
      <c r="E93" s="69"/>
      <c r="F93" s="69"/>
      <c r="G93" s="69"/>
      <c r="H93" s="69"/>
      <c r="I93" s="69"/>
      <c r="J93" s="69"/>
      <c r="K93" s="69"/>
      <c r="L93" s="69"/>
      <c r="M93" s="69"/>
    </row>
    <row r="94" spans="1:13" ht="26.1" customHeight="1" thickTop="1" thickBot="1" x14ac:dyDescent="0.3">
      <c r="A94" s="94"/>
      <c r="B94" s="48" t="s">
        <v>46</v>
      </c>
      <c r="C94" s="51" t="s">
        <v>117</v>
      </c>
      <c r="D94" s="52">
        <v>941.8</v>
      </c>
      <c r="E94" s="69"/>
      <c r="F94" s="69"/>
      <c r="G94" s="69"/>
      <c r="H94" s="69"/>
      <c r="I94" s="69"/>
      <c r="J94" s="69"/>
      <c r="K94" s="69"/>
      <c r="L94" s="69"/>
      <c r="M94" s="69"/>
    </row>
    <row r="95" spans="1:13" ht="26.1" customHeight="1" thickTop="1" thickBot="1" x14ac:dyDescent="0.3">
      <c r="A95" s="94" t="s">
        <v>53</v>
      </c>
      <c r="B95" s="49" t="s">
        <v>26</v>
      </c>
      <c r="C95" s="51" t="s">
        <v>115</v>
      </c>
      <c r="D95" s="52">
        <v>9450</v>
      </c>
      <c r="E95" s="69"/>
      <c r="F95" s="69"/>
      <c r="G95" s="69"/>
      <c r="H95" s="69"/>
      <c r="I95" s="69"/>
      <c r="J95" s="69"/>
      <c r="K95" s="69"/>
      <c r="L95" s="69"/>
      <c r="M95" s="69"/>
    </row>
    <row r="96" spans="1:13" ht="26.1" customHeight="1" thickTop="1" thickBot="1" x14ac:dyDescent="0.3">
      <c r="A96" s="94"/>
      <c r="B96" s="49" t="s">
        <v>52</v>
      </c>
      <c r="C96" s="51" t="s">
        <v>115</v>
      </c>
      <c r="D96" s="52">
        <v>1890</v>
      </c>
      <c r="E96" s="69"/>
      <c r="F96" s="69"/>
      <c r="G96" s="69"/>
      <c r="H96" s="69"/>
      <c r="I96" s="69"/>
      <c r="J96" s="69"/>
      <c r="K96" s="69"/>
      <c r="L96" s="69"/>
      <c r="M96" s="69"/>
    </row>
    <row r="97" spans="1:13" ht="26.1" customHeight="1" thickTop="1" thickBot="1" x14ac:dyDescent="0.3">
      <c r="A97" s="94"/>
      <c r="B97" s="50" t="s">
        <v>51</v>
      </c>
      <c r="C97" s="51" t="s">
        <v>115</v>
      </c>
      <c r="D97" s="52">
        <v>189</v>
      </c>
      <c r="E97" s="69"/>
      <c r="F97" s="69"/>
      <c r="G97" s="69"/>
      <c r="H97" s="69"/>
      <c r="I97" s="69"/>
      <c r="J97" s="69"/>
      <c r="K97" s="69"/>
      <c r="L97" s="69"/>
      <c r="M97" s="69"/>
    </row>
    <row r="98" spans="1:13" ht="26.1" customHeight="1" thickTop="1" thickBot="1" x14ac:dyDescent="0.3">
      <c r="A98" s="94" t="s">
        <v>56</v>
      </c>
      <c r="B98" s="27" t="s">
        <v>58</v>
      </c>
      <c r="C98" s="51" t="s">
        <v>115</v>
      </c>
      <c r="D98" s="52">
        <v>4</v>
      </c>
      <c r="E98" s="69"/>
      <c r="F98" s="69"/>
      <c r="G98" s="69"/>
      <c r="H98" s="69"/>
      <c r="I98" s="69"/>
      <c r="J98" s="69"/>
      <c r="K98" s="69"/>
      <c r="L98" s="69"/>
      <c r="M98" s="69"/>
    </row>
    <row r="99" spans="1:13" ht="26.1" customHeight="1" thickTop="1" thickBot="1" x14ac:dyDescent="0.3">
      <c r="A99" s="94"/>
      <c r="B99" s="27" t="s">
        <v>54</v>
      </c>
      <c r="C99" s="51" t="s">
        <v>115</v>
      </c>
      <c r="D99" s="52">
        <v>32</v>
      </c>
      <c r="E99" s="69"/>
      <c r="F99" s="69"/>
      <c r="G99" s="69"/>
      <c r="H99" s="69"/>
      <c r="I99" s="69"/>
      <c r="J99" s="69"/>
      <c r="K99" s="69"/>
      <c r="L99" s="69"/>
      <c r="M99" s="69"/>
    </row>
    <row r="100" spans="1:13" ht="26.1" customHeight="1" thickTop="1" thickBot="1" x14ac:dyDescent="0.3">
      <c r="A100" s="94"/>
      <c r="B100" s="27" t="s">
        <v>55</v>
      </c>
      <c r="C100" s="51" t="s">
        <v>115</v>
      </c>
      <c r="D100" s="52">
        <v>4</v>
      </c>
      <c r="E100" s="69"/>
      <c r="F100" s="69"/>
      <c r="G100" s="69"/>
      <c r="H100" s="69"/>
      <c r="I100" s="69"/>
      <c r="J100" s="69"/>
      <c r="K100" s="69"/>
      <c r="L100" s="69"/>
      <c r="M100" s="69"/>
    </row>
    <row r="101" spans="1:13" ht="26.1" customHeight="1" thickTop="1" thickBot="1" x14ac:dyDescent="0.3">
      <c r="A101" s="94"/>
      <c r="B101" s="27" t="s">
        <v>53</v>
      </c>
      <c r="C101" s="51" t="s">
        <v>115</v>
      </c>
      <c r="D101" s="52">
        <v>189</v>
      </c>
      <c r="E101" s="69"/>
      <c r="F101" s="69"/>
      <c r="G101" s="69"/>
      <c r="H101" s="69"/>
      <c r="I101" s="69"/>
      <c r="J101" s="69"/>
      <c r="K101" s="69"/>
      <c r="L101" s="69"/>
      <c r="M101" s="69"/>
    </row>
    <row r="102" spans="1:13" ht="26.1" customHeight="1" thickTop="1" thickBot="1" x14ac:dyDescent="0.3">
      <c r="A102" s="94"/>
      <c r="B102" s="27" t="s">
        <v>57</v>
      </c>
      <c r="C102" s="51" t="s">
        <v>123</v>
      </c>
      <c r="D102" s="52">
        <v>229</v>
      </c>
      <c r="E102" s="69"/>
      <c r="F102" s="69"/>
      <c r="G102" s="69"/>
      <c r="H102" s="69"/>
      <c r="I102" s="69"/>
      <c r="J102" s="69"/>
      <c r="K102" s="69"/>
      <c r="L102" s="69"/>
      <c r="M102" s="69"/>
    </row>
    <row r="103" spans="1:13" ht="26.1" customHeight="1" thickTop="1" thickBot="1" x14ac:dyDescent="0.3">
      <c r="A103" s="94"/>
      <c r="B103" s="48" t="s">
        <v>46</v>
      </c>
      <c r="C103" s="51" t="s">
        <v>117</v>
      </c>
      <c r="D103" s="52">
        <v>458</v>
      </c>
      <c r="E103" s="69"/>
      <c r="F103" s="69"/>
      <c r="G103" s="69"/>
      <c r="H103" s="69"/>
      <c r="I103" s="69"/>
      <c r="J103" s="69"/>
      <c r="K103" s="69"/>
      <c r="L103" s="69"/>
      <c r="M103" s="69"/>
    </row>
    <row r="104" spans="1:13" ht="16.5" thickTop="1" x14ac:dyDescent="0.25">
      <c r="B104" s="66"/>
      <c r="C104" s="66"/>
      <c r="D104" s="52"/>
      <c r="E104" s="69"/>
      <c r="F104" s="69"/>
      <c r="G104" s="69"/>
      <c r="H104" s="69"/>
      <c r="I104" s="69"/>
      <c r="J104" s="69"/>
      <c r="K104" s="69"/>
      <c r="L104" s="69"/>
      <c r="M104" s="69"/>
    </row>
    <row r="105" spans="1:13" x14ac:dyDescent="0.25">
      <c r="B105" s="66"/>
      <c r="C105" s="66"/>
      <c r="D105" s="52"/>
      <c r="E105" s="69"/>
      <c r="F105" s="69"/>
      <c r="G105" s="69"/>
      <c r="H105" s="69"/>
      <c r="I105" s="69"/>
      <c r="J105" s="69"/>
      <c r="K105" s="69"/>
      <c r="L105" s="69"/>
      <c r="M105" s="69"/>
    </row>
    <row r="106" spans="1:13" x14ac:dyDescent="0.25">
      <c r="B106" s="66"/>
      <c r="C106" s="66"/>
      <c r="D106" s="52"/>
      <c r="E106" s="69"/>
      <c r="F106" s="69"/>
      <c r="G106" s="69"/>
      <c r="H106" s="69"/>
      <c r="I106" s="69"/>
      <c r="J106" s="69"/>
      <c r="K106" s="69"/>
      <c r="L106" s="69"/>
      <c r="M106" s="69"/>
    </row>
    <row r="107" spans="1:13" x14ac:dyDescent="0.25">
      <c r="B107" s="66"/>
      <c r="C107" s="66"/>
      <c r="D107" s="52"/>
      <c r="E107" s="69"/>
      <c r="F107" s="69"/>
      <c r="G107" s="69"/>
      <c r="H107" s="69"/>
      <c r="I107" s="69"/>
      <c r="J107" s="69"/>
      <c r="K107" s="69"/>
      <c r="L107" s="69"/>
      <c r="M107" s="69"/>
    </row>
    <row r="108" spans="1:13" x14ac:dyDescent="0.25">
      <c r="B108" s="66"/>
      <c r="C108" s="66"/>
      <c r="D108" s="52"/>
      <c r="E108" s="69"/>
      <c r="F108" s="69"/>
      <c r="G108" s="69"/>
      <c r="H108" s="69"/>
      <c r="I108" s="69"/>
      <c r="J108" s="69"/>
      <c r="K108" s="69"/>
      <c r="L108" s="69"/>
      <c r="M108" s="69"/>
    </row>
    <row r="109" spans="1:13" x14ac:dyDescent="0.25">
      <c r="B109" s="66"/>
      <c r="C109" s="66"/>
      <c r="D109" s="52"/>
      <c r="E109" s="69"/>
      <c r="F109" s="69"/>
      <c r="G109" s="69"/>
      <c r="H109" s="69"/>
      <c r="I109" s="69"/>
      <c r="J109" s="69"/>
      <c r="K109" s="69"/>
      <c r="L109" s="69"/>
      <c r="M109" s="69"/>
    </row>
    <row r="110" spans="1:13" x14ac:dyDescent="0.25">
      <c r="B110" s="66"/>
      <c r="C110" s="66"/>
      <c r="D110" s="52"/>
      <c r="E110" s="69"/>
      <c r="F110" s="69"/>
      <c r="G110" s="69"/>
      <c r="H110" s="69"/>
      <c r="I110" s="69"/>
      <c r="J110" s="69"/>
      <c r="K110" s="69"/>
      <c r="L110" s="69"/>
      <c r="M110" s="69"/>
    </row>
    <row r="111" spans="1:13" x14ac:dyDescent="0.25">
      <c r="B111" s="66"/>
      <c r="C111" s="66"/>
      <c r="D111" s="52"/>
      <c r="E111" s="69"/>
      <c r="F111" s="69"/>
      <c r="G111" s="69"/>
      <c r="H111" s="69"/>
      <c r="I111" s="69"/>
      <c r="J111" s="69"/>
      <c r="K111" s="69"/>
      <c r="L111" s="69"/>
      <c r="M111" s="69"/>
    </row>
    <row r="112" spans="1:13" x14ac:dyDescent="0.25">
      <c r="B112" s="66"/>
      <c r="C112" s="66"/>
      <c r="D112" s="52"/>
      <c r="E112" s="69"/>
      <c r="F112" s="69"/>
      <c r="G112" s="69"/>
      <c r="H112" s="69"/>
      <c r="I112" s="69"/>
      <c r="J112" s="69"/>
      <c r="K112" s="69"/>
      <c r="L112" s="69"/>
      <c r="M112" s="69"/>
    </row>
    <row r="113" spans="2:13" x14ac:dyDescent="0.25">
      <c r="B113" s="66"/>
      <c r="C113" s="66"/>
      <c r="D113" s="52"/>
      <c r="E113" s="69"/>
      <c r="F113" s="69"/>
      <c r="G113" s="69"/>
      <c r="H113" s="69"/>
      <c r="I113" s="69"/>
      <c r="J113" s="69"/>
      <c r="K113" s="69"/>
      <c r="L113" s="69"/>
      <c r="M113" s="69"/>
    </row>
    <row r="114" spans="2:13" x14ac:dyDescent="0.25">
      <c r="B114" s="66"/>
      <c r="C114" s="66"/>
      <c r="D114" s="52"/>
      <c r="E114" s="69"/>
      <c r="F114" s="69"/>
      <c r="G114" s="69"/>
      <c r="H114" s="69"/>
      <c r="I114" s="69"/>
      <c r="J114" s="69"/>
      <c r="K114" s="69"/>
      <c r="L114" s="69"/>
      <c r="M114" s="69"/>
    </row>
    <row r="115" spans="2:13" x14ac:dyDescent="0.25">
      <c r="B115" s="66"/>
      <c r="C115" s="66"/>
      <c r="D115" s="52"/>
      <c r="E115" s="69"/>
      <c r="F115" s="69"/>
      <c r="G115" s="69"/>
      <c r="H115" s="69"/>
      <c r="I115" s="69"/>
      <c r="J115" s="69"/>
      <c r="K115" s="69"/>
      <c r="L115" s="69"/>
      <c r="M115" s="69"/>
    </row>
    <row r="116" spans="2:13" x14ac:dyDescent="0.25">
      <c r="B116" s="66"/>
      <c r="C116" s="66"/>
      <c r="D116" s="52"/>
      <c r="E116" s="69"/>
      <c r="F116" s="69"/>
      <c r="G116" s="69"/>
      <c r="H116" s="69"/>
      <c r="I116" s="69"/>
      <c r="J116" s="69"/>
      <c r="K116" s="69"/>
      <c r="L116" s="69"/>
      <c r="M116" s="69"/>
    </row>
    <row r="117" spans="2:13" x14ac:dyDescent="0.25">
      <c r="B117" s="66"/>
      <c r="C117" s="66"/>
      <c r="D117" s="52"/>
      <c r="E117" s="69"/>
      <c r="F117" s="69"/>
      <c r="G117" s="69"/>
      <c r="H117" s="69"/>
      <c r="I117" s="69"/>
      <c r="J117" s="69"/>
      <c r="K117" s="69"/>
      <c r="L117" s="69"/>
      <c r="M117" s="69"/>
    </row>
    <row r="118" spans="2:13" x14ac:dyDescent="0.25">
      <c r="B118" s="66"/>
      <c r="C118" s="66"/>
      <c r="D118" s="52"/>
      <c r="E118" s="69"/>
      <c r="F118" s="69"/>
      <c r="G118" s="69"/>
      <c r="H118" s="69"/>
      <c r="I118" s="69"/>
      <c r="J118" s="69"/>
      <c r="K118" s="69"/>
      <c r="L118" s="69"/>
      <c r="M118" s="69"/>
    </row>
    <row r="119" spans="2:13" x14ac:dyDescent="0.25">
      <c r="B119" s="66"/>
      <c r="C119" s="66"/>
      <c r="D119" s="52"/>
      <c r="E119" s="69"/>
      <c r="F119" s="69"/>
      <c r="G119" s="69"/>
      <c r="H119" s="69"/>
      <c r="I119" s="69"/>
      <c r="J119" s="69"/>
      <c r="K119" s="69"/>
      <c r="L119" s="69"/>
      <c r="M119" s="69"/>
    </row>
    <row r="120" spans="2:13" x14ac:dyDescent="0.25">
      <c r="B120" s="66"/>
      <c r="C120" s="66"/>
      <c r="D120" s="52"/>
      <c r="E120" s="69"/>
      <c r="F120" s="69"/>
      <c r="G120" s="69"/>
      <c r="H120" s="69"/>
      <c r="I120" s="69"/>
      <c r="J120" s="69"/>
      <c r="K120" s="69"/>
      <c r="L120" s="69"/>
      <c r="M120" s="69"/>
    </row>
    <row r="121" spans="2:13" x14ac:dyDescent="0.25">
      <c r="B121" s="66"/>
      <c r="C121" s="66"/>
      <c r="D121" s="52"/>
      <c r="E121" s="69"/>
      <c r="F121" s="69"/>
      <c r="G121" s="69"/>
      <c r="H121" s="69"/>
      <c r="I121" s="69"/>
      <c r="J121" s="69"/>
      <c r="K121" s="69"/>
      <c r="L121" s="69"/>
      <c r="M121" s="69"/>
    </row>
    <row r="122" spans="2:13" x14ac:dyDescent="0.25">
      <c r="B122" s="66"/>
      <c r="C122" s="66"/>
      <c r="D122" s="52"/>
      <c r="E122" s="69"/>
      <c r="F122" s="69"/>
      <c r="G122" s="69"/>
      <c r="H122" s="69"/>
      <c r="I122" s="69"/>
      <c r="J122" s="69"/>
      <c r="K122" s="69"/>
      <c r="L122" s="69"/>
      <c r="M122" s="69"/>
    </row>
    <row r="123" spans="2:13" x14ac:dyDescent="0.25">
      <c r="B123" s="66"/>
      <c r="C123" s="66"/>
      <c r="D123" s="52"/>
      <c r="E123" s="69"/>
      <c r="F123" s="69"/>
      <c r="G123" s="69"/>
      <c r="H123" s="69"/>
      <c r="I123" s="69"/>
      <c r="J123" s="69"/>
      <c r="K123" s="69"/>
      <c r="L123" s="69"/>
      <c r="M123" s="69"/>
    </row>
    <row r="124" spans="2:13" x14ac:dyDescent="0.25">
      <c r="B124" s="66"/>
      <c r="C124" s="66"/>
      <c r="D124" s="52"/>
      <c r="E124" s="69"/>
      <c r="F124" s="69"/>
      <c r="G124" s="69"/>
      <c r="H124" s="69"/>
      <c r="I124" s="69"/>
      <c r="J124" s="69"/>
      <c r="K124" s="69"/>
      <c r="L124" s="69"/>
      <c r="M124" s="69"/>
    </row>
    <row r="125" spans="2:13" x14ac:dyDescent="0.25">
      <c r="B125" s="66"/>
      <c r="C125" s="66"/>
      <c r="D125" s="52"/>
      <c r="E125" s="69"/>
      <c r="F125" s="69"/>
      <c r="G125" s="69"/>
      <c r="H125" s="69"/>
      <c r="I125" s="69"/>
      <c r="J125" s="69"/>
      <c r="K125" s="69"/>
      <c r="L125" s="69"/>
      <c r="M125" s="69"/>
    </row>
    <row r="126" spans="2:13" x14ac:dyDescent="0.25">
      <c r="B126" s="66"/>
      <c r="C126" s="66"/>
      <c r="D126" s="52"/>
      <c r="E126" s="69"/>
      <c r="F126" s="69"/>
      <c r="G126" s="69"/>
      <c r="H126" s="69"/>
      <c r="I126" s="69"/>
      <c r="J126" s="69"/>
      <c r="K126" s="69"/>
      <c r="L126" s="69"/>
      <c r="M126" s="69"/>
    </row>
    <row r="127" spans="2:13" x14ac:dyDescent="0.25">
      <c r="B127" s="66"/>
      <c r="C127" s="66"/>
      <c r="D127" s="52"/>
      <c r="E127" s="69"/>
      <c r="F127" s="69"/>
      <c r="G127" s="69"/>
      <c r="H127" s="69"/>
      <c r="I127" s="69"/>
      <c r="J127" s="69"/>
      <c r="K127" s="69"/>
      <c r="L127" s="69"/>
      <c r="M127" s="69"/>
    </row>
    <row r="128" spans="2:13" x14ac:dyDescent="0.25">
      <c r="B128" s="66"/>
      <c r="C128" s="66"/>
      <c r="D128" s="52"/>
      <c r="E128" s="69"/>
      <c r="F128" s="69"/>
      <c r="G128" s="69"/>
      <c r="H128" s="69"/>
      <c r="I128" s="69"/>
      <c r="J128" s="69"/>
      <c r="K128" s="69"/>
      <c r="L128" s="69"/>
      <c r="M128" s="69"/>
    </row>
    <row r="129" spans="2:13" x14ac:dyDescent="0.25">
      <c r="B129" s="66"/>
      <c r="C129" s="66"/>
      <c r="D129" s="52"/>
      <c r="E129" s="69"/>
      <c r="F129" s="69"/>
      <c r="G129" s="69"/>
      <c r="H129" s="69"/>
      <c r="I129" s="69"/>
      <c r="J129" s="69"/>
      <c r="K129" s="69"/>
      <c r="L129" s="69"/>
      <c r="M129" s="69"/>
    </row>
    <row r="130" spans="2:13" x14ac:dyDescent="0.25">
      <c r="B130" s="66"/>
      <c r="C130" s="66"/>
      <c r="D130" s="52"/>
      <c r="E130" s="69"/>
      <c r="F130" s="69"/>
      <c r="G130" s="69"/>
      <c r="H130" s="69"/>
      <c r="I130" s="69"/>
      <c r="J130" s="69"/>
      <c r="K130" s="69"/>
      <c r="L130" s="69"/>
      <c r="M130" s="69"/>
    </row>
    <row r="131" spans="2:13" x14ac:dyDescent="0.25">
      <c r="B131" s="66"/>
      <c r="C131" s="66"/>
      <c r="D131" s="52"/>
      <c r="E131" s="69"/>
      <c r="F131" s="69"/>
      <c r="G131" s="69"/>
      <c r="H131" s="69"/>
      <c r="I131" s="69"/>
      <c r="J131" s="69"/>
      <c r="K131" s="69"/>
      <c r="L131" s="69"/>
      <c r="M131" s="69"/>
    </row>
    <row r="132" spans="2:13" x14ac:dyDescent="0.25">
      <c r="B132" s="66"/>
      <c r="C132" s="66"/>
      <c r="D132" s="52"/>
      <c r="E132" s="69"/>
      <c r="F132" s="69"/>
      <c r="G132" s="69"/>
      <c r="H132" s="69"/>
      <c r="I132" s="69"/>
      <c r="J132" s="69"/>
      <c r="K132" s="69"/>
      <c r="L132" s="69"/>
      <c r="M132" s="69"/>
    </row>
    <row r="133" spans="2:13" x14ac:dyDescent="0.25">
      <c r="B133" s="66"/>
      <c r="C133" s="66"/>
      <c r="D133" s="52"/>
      <c r="E133" s="69"/>
      <c r="F133" s="69"/>
      <c r="G133" s="69"/>
      <c r="H133" s="69"/>
      <c r="I133" s="69"/>
      <c r="J133" s="69"/>
      <c r="K133" s="69"/>
      <c r="L133" s="69"/>
      <c r="M133" s="69"/>
    </row>
    <row r="134" spans="2:13" x14ac:dyDescent="0.25">
      <c r="B134" s="66"/>
      <c r="C134" s="66"/>
      <c r="D134" s="52"/>
      <c r="E134" s="69"/>
      <c r="F134" s="69"/>
      <c r="G134" s="69"/>
      <c r="H134" s="69"/>
      <c r="I134" s="69"/>
      <c r="J134" s="69"/>
      <c r="K134" s="69"/>
      <c r="L134" s="69"/>
      <c r="M134" s="69"/>
    </row>
    <row r="135" spans="2:13" x14ac:dyDescent="0.25">
      <c r="B135" s="66"/>
      <c r="C135" s="66"/>
      <c r="D135" s="52"/>
      <c r="E135" s="69"/>
      <c r="F135" s="69"/>
      <c r="G135" s="69"/>
      <c r="H135" s="69"/>
      <c r="I135" s="69"/>
      <c r="J135" s="69"/>
      <c r="K135" s="69"/>
      <c r="L135" s="69"/>
      <c r="M135" s="69"/>
    </row>
    <row r="136" spans="2:13" x14ac:dyDescent="0.25">
      <c r="B136" s="66"/>
      <c r="C136" s="66"/>
      <c r="D136" s="52"/>
      <c r="E136" s="69"/>
      <c r="F136" s="69"/>
      <c r="G136" s="69"/>
      <c r="H136" s="69"/>
      <c r="I136" s="69"/>
      <c r="J136" s="69"/>
      <c r="K136" s="69"/>
      <c r="L136" s="69"/>
      <c r="M136" s="69"/>
    </row>
    <row r="137" spans="2:13" x14ac:dyDescent="0.25">
      <c r="B137" s="66"/>
      <c r="C137" s="66"/>
      <c r="D137" s="52"/>
      <c r="E137" s="69"/>
      <c r="F137" s="69"/>
      <c r="G137" s="69"/>
      <c r="H137" s="69"/>
      <c r="I137" s="69"/>
      <c r="J137" s="69"/>
      <c r="K137" s="69"/>
      <c r="L137" s="69"/>
      <c r="M137" s="69"/>
    </row>
    <row r="138" spans="2:13" x14ac:dyDescent="0.25">
      <c r="B138" s="66"/>
      <c r="C138" s="66"/>
      <c r="D138" s="52"/>
      <c r="E138" s="69"/>
      <c r="F138" s="69"/>
      <c r="G138" s="69"/>
      <c r="H138" s="69"/>
      <c r="I138" s="69"/>
      <c r="J138" s="69"/>
      <c r="K138" s="69"/>
      <c r="L138" s="69"/>
      <c r="M138" s="69"/>
    </row>
    <row r="139" spans="2:13" x14ac:dyDescent="0.25">
      <c r="B139" s="66"/>
      <c r="C139" s="66"/>
      <c r="D139" s="52"/>
      <c r="E139" s="69"/>
      <c r="F139" s="69"/>
      <c r="G139" s="69"/>
      <c r="H139" s="69"/>
      <c r="I139" s="69"/>
      <c r="J139" s="69"/>
      <c r="K139" s="69"/>
      <c r="L139" s="69"/>
      <c r="M139" s="69"/>
    </row>
    <row r="140" spans="2:13" x14ac:dyDescent="0.25">
      <c r="B140" s="66"/>
      <c r="C140" s="66"/>
      <c r="D140" s="52"/>
      <c r="E140" s="69"/>
      <c r="F140" s="69"/>
      <c r="G140" s="69"/>
      <c r="H140" s="69"/>
      <c r="I140" s="69"/>
      <c r="J140" s="69"/>
      <c r="K140" s="69"/>
      <c r="L140" s="69"/>
      <c r="M140" s="69"/>
    </row>
    <row r="141" spans="2:13" x14ac:dyDescent="0.25">
      <c r="B141" s="66"/>
      <c r="C141" s="66"/>
      <c r="D141" s="52"/>
      <c r="E141" s="69"/>
      <c r="F141" s="69"/>
      <c r="G141" s="69"/>
      <c r="H141" s="69"/>
      <c r="I141" s="69"/>
      <c r="J141" s="69"/>
      <c r="K141" s="69"/>
      <c r="L141" s="69"/>
      <c r="M141" s="69"/>
    </row>
    <row r="142" spans="2:13" x14ac:dyDescent="0.25">
      <c r="B142" s="66"/>
      <c r="C142" s="66"/>
      <c r="D142" s="52"/>
      <c r="E142" s="69"/>
      <c r="F142" s="69"/>
      <c r="G142" s="69"/>
      <c r="H142" s="69"/>
      <c r="I142" s="69"/>
      <c r="J142" s="69"/>
      <c r="K142" s="69"/>
      <c r="L142" s="69"/>
      <c r="M142" s="69"/>
    </row>
    <row r="143" spans="2:13" x14ac:dyDescent="0.25">
      <c r="B143" s="66"/>
      <c r="C143" s="66"/>
      <c r="D143" s="52"/>
      <c r="E143" s="69"/>
      <c r="F143" s="69"/>
      <c r="G143" s="69"/>
      <c r="H143" s="69"/>
      <c r="I143" s="69"/>
      <c r="J143" s="69"/>
      <c r="K143" s="69"/>
      <c r="L143" s="69"/>
      <c r="M143" s="69"/>
    </row>
    <row r="144" spans="2:13" x14ac:dyDescent="0.25">
      <c r="B144" s="66"/>
      <c r="C144" s="66"/>
      <c r="D144" s="52"/>
      <c r="E144" s="69"/>
      <c r="F144" s="69"/>
      <c r="G144" s="69"/>
      <c r="H144" s="69"/>
      <c r="I144" s="69"/>
      <c r="J144" s="69"/>
      <c r="K144" s="69"/>
      <c r="L144" s="69"/>
      <c r="M144" s="69"/>
    </row>
    <row r="145" spans="2:13" x14ac:dyDescent="0.25">
      <c r="B145" s="66"/>
      <c r="C145" s="66"/>
      <c r="D145" s="52"/>
      <c r="E145" s="69"/>
      <c r="F145" s="69"/>
      <c r="G145" s="69"/>
      <c r="H145" s="69"/>
      <c r="I145" s="69"/>
      <c r="J145" s="69"/>
      <c r="K145" s="69"/>
      <c r="L145" s="69"/>
      <c r="M145" s="69"/>
    </row>
    <row r="146" spans="2:13" x14ac:dyDescent="0.25">
      <c r="B146" s="66"/>
      <c r="C146" s="66"/>
      <c r="D146" s="52"/>
      <c r="E146" s="69"/>
      <c r="F146" s="69"/>
      <c r="G146" s="69"/>
      <c r="H146" s="69"/>
      <c r="I146" s="69"/>
      <c r="J146" s="69"/>
      <c r="K146" s="69"/>
      <c r="L146" s="69"/>
      <c r="M146" s="69"/>
    </row>
    <row r="147" spans="2:13" x14ac:dyDescent="0.25">
      <c r="B147" s="66"/>
      <c r="C147" s="66"/>
      <c r="D147" s="52"/>
      <c r="E147" s="69"/>
      <c r="F147" s="69"/>
      <c r="G147" s="69"/>
      <c r="H147" s="69"/>
      <c r="I147" s="69"/>
      <c r="J147" s="69"/>
      <c r="K147" s="69"/>
      <c r="L147" s="69"/>
      <c r="M147" s="69"/>
    </row>
    <row r="148" spans="2:13" x14ac:dyDescent="0.25">
      <c r="B148" s="66"/>
      <c r="C148" s="66"/>
      <c r="D148" s="52"/>
      <c r="E148" s="69"/>
      <c r="F148" s="69"/>
      <c r="G148" s="69"/>
      <c r="H148" s="69"/>
      <c r="I148" s="69"/>
      <c r="J148" s="69"/>
      <c r="K148" s="69"/>
      <c r="L148" s="69"/>
      <c r="M148" s="69"/>
    </row>
    <row r="149" spans="2:13" x14ac:dyDescent="0.25">
      <c r="B149" s="66"/>
      <c r="C149" s="66"/>
      <c r="D149" s="52"/>
      <c r="E149" s="69"/>
      <c r="F149" s="69"/>
      <c r="G149" s="69"/>
      <c r="H149" s="69"/>
      <c r="I149" s="69"/>
      <c r="J149" s="69"/>
      <c r="K149" s="69"/>
      <c r="L149" s="69"/>
      <c r="M149" s="69"/>
    </row>
    <row r="150" spans="2:13" x14ac:dyDescent="0.25">
      <c r="B150" s="66"/>
      <c r="C150" s="66"/>
      <c r="D150" s="52"/>
      <c r="E150" s="69"/>
      <c r="F150" s="69"/>
      <c r="G150" s="69"/>
      <c r="H150" s="69"/>
      <c r="I150" s="69"/>
      <c r="J150" s="69"/>
      <c r="K150" s="69"/>
      <c r="L150" s="69"/>
      <c r="M150" s="69"/>
    </row>
    <row r="151" spans="2:13" x14ac:dyDescent="0.25">
      <c r="B151" s="66"/>
      <c r="C151" s="66"/>
      <c r="D151" s="52"/>
      <c r="E151" s="69"/>
      <c r="F151" s="69"/>
      <c r="G151" s="69"/>
      <c r="H151" s="69"/>
      <c r="I151" s="69"/>
      <c r="J151" s="69"/>
      <c r="K151" s="69"/>
      <c r="L151" s="69"/>
      <c r="M151" s="69"/>
    </row>
    <row r="152" spans="2:13" x14ac:dyDescent="0.25">
      <c r="B152" s="66"/>
      <c r="C152" s="66"/>
      <c r="D152" s="52"/>
      <c r="E152" s="69"/>
      <c r="F152" s="69"/>
      <c r="G152" s="69"/>
      <c r="H152" s="69"/>
      <c r="I152" s="69"/>
      <c r="J152" s="69"/>
      <c r="K152" s="69"/>
      <c r="L152" s="69"/>
      <c r="M152" s="69"/>
    </row>
    <row r="153" spans="2:13" x14ac:dyDescent="0.25">
      <c r="B153" s="66"/>
      <c r="C153" s="66"/>
      <c r="D153" s="52"/>
      <c r="E153" s="69"/>
      <c r="F153" s="69"/>
      <c r="G153" s="69"/>
      <c r="H153" s="69"/>
      <c r="I153" s="69"/>
      <c r="J153" s="69"/>
      <c r="K153" s="69"/>
      <c r="L153" s="69"/>
      <c r="M153" s="69"/>
    </row>
    <row r="154" spans="2:13" x14ac:dyDescent="0.25">
      <c r="B154" s="66"/>
      <c r="C154" s="66"/>
      <c r="D154" s="52"/>
      <c r="E154" s="69"/>
      <c r="F154" s="69"/>
      <c r="G154" s="69"/>
      <c r="H154" s="69"/>
      <c r="I154" s="69"/>
      <c r="J154" s="69"/>
      <c r="K154" s="69"/>
      <c r="L154" s="69"/>
      <c r="M154" s="69"/>
    </row>
    <row r="155" spans="2:13" x14ac:dyDescent="0.25">
      <c r="B155" s="66"/>
      <c r="C155" s="66"/>
      <c r="D155" s="52"/>
      <c r="E155" s="69"/>
      <c r="F155" s="69"/>
      <c r="G155" s="69"/>
      <c r="H155" s="69"/>
      <c r="I155" s="69"/>
      <c r="J155" s="69"/>
      <c r="K155" s="69"/>
      <c r="L155" s="69"/>
      <c r="M155" s="69"/>
    </row>
    <row r="156" spans="2:13" x14ac:dyDescent="0.25">
      <c r="B156" s="66"/>
      <c r="C156" s="66"/>
      <c r="D156" s="52"/>
      <c r="E156" s="69"/>
      <c r="F156" s="69"/>
      <c r="G156" s="69"/>
      <c r="H156" s="69"/>
      <c r="I156" s="69"/>
      <c r="J156" s="69"/>
      <c r="K156" s="69"/>
      <c r="L156" s="69"/>
      <c r="M156" s="69"/>
    </row>
    <row r="157" spans="2:13" x14ac:dyDescent="0.25">
      <c r="B157" s="66"/>
      <c r="C157" s="66"/>
      <c r="D157" s="52"/>
      <c r="E157" s="69"/>
      <c r="F157" s="69"/>
      <c r="G157" s="69"/>
      <c r="H157" s="69"/>
      <c r="I157" s="69"/>
      <c r="J157" s="69"/>
      <c r="K157" s="69"/>
      <c r="L157" s="69"/>
      <c r="M157" s="69"/>
    </row>
    <row r="158" spans="2:13" x14ac:dyDescent="0.25">
      <c r="B158" s="66"/>
      <c r="C158" s="66"/>
      <c r="D158" s="52"/>
      <c r="E158" s="69"/>
      <c r="F158" s="69"/>
      <c r="G158" s="69"/>
      <c r="H158" s="69"/>
      <c r="I158" s="69"/>
      <c r="J158" s="69"/>
      <c r="K158" s="69"/>
      <c r="L158" s="69"/>
      <c r="M158" s="69"/>
    </row>
    <row r="159" spans="2:13" x14ac:dyDescent="0.25">
      <c r="B159" s="66"/>
      <c r="C159" s="66"/>
      <c r="D159" s="52"/>
      <c r="E159" s="69"/>
      <c r="F159" s="69"/>
      <c r="G159" s="69"/>
      <c r="H159" s="69"/>
      <c r="I159" s="69"/>
      <c r="J159" s="69"/>
      <c r="K159" s="69"/>
      <c r="L159" s="69"/>
      <c r="M159" s="69"/>
    </row>
    <row r="160" spans="2:13" x14ac:dyDescent="0.25">
      <c r="B160" s="66"/>
      <c r="C160" s="66"/>
      <c r="D160" s="52"/>
      <c r="E160" s="69"/>
      <c r="F160" s="69"/>
      <c r="G160" s="69"/>
      <c r="H160" s="69"/>
      <c r="I160" s="69"/>
      <c r="J160" s="69"/>
      <c r="K160" s="69"/>
      <c r="L160" s="69"/>
      <c r="M160" s="69"/>
    </row>
    <row r="161" spans="2:13" x14ac:dyDescent="0.25">
      <c r="B161" s="66"/>
      <c r="C161" s="66"/>
      <c r="D161" s="52"/>
      <c r="E161" s="69"/>
      <c r="F161" s="69"/>
      <c r="G161" s="69"/>
      <c r="H161" s="69"/>
      <c r="I161" s="69"/>
      <c r="J161" s="69"/>
      <c r="K161" s="69"/>
      <c r="L161" s="69"/>
      <c r="M161" s="69"/>
    </row>
    <row r="162" spans="2:13" x14ac:dyDescent="0.25">
      <c r="B162" s="66"/>
      <c r="C162" s="66"/>
      <c r="D162" s="52"/>
      <c r="E162" s="69"/>
      <c r="F162" s="69"/>
      <c r="G162" s="69"/>
      <c r="H162" s="69"/>
      <c r="I162" s="69"/>
      <c r="J162" s="69"/>
      <c r="K162" s="69"/>
      <c r="L162" s="69"/>
      <c r="M162" s="69"/>
    </row>
    <row r="163" spans="2:13" x14ac:dyDescent="0.25">
      <c r="B163" s="66"/>
      <c r="C163" s="66"/>
      <c r="D163" s="52"/>
      <c r="E163" s="69"/>
      <c r="F163" s="69"/>
      <c r="G163" s="69"/>
      <c r="H163" s="69"/>
      <c r="I163" s="69"/>
      <c r="J163" s="69"/>
      <c r="K163" s="69"/>
      <c r="L163" s="69"/>
      <c r="M163" s="69"/>
    </row>
    <row r="164" spans="2:13" x14ac:dyDescent="0.25">
      <c r="B164" s="66"/>
      <c r="C164" s="66"/>
      <c r="D164" s="52"/>
      <c r="E164" s="69"/>
      <c r="F164" s="69"/>
      <c r="G164" s="69"/>
      <c r="H164" s="69"/>
      <c r="I164" s="69"/>
      <c r="J164" s="69"/>
      <c r="K164" s="69"/>
      <c r="L164" s="69"/>
      <c r="M164" s="69"/>
    </row>
    <row r="165" spans="2:13" x14ac:dyDescent="0.25">
      <c r="B165" s="66"/>
      <c r="C165" s="66"/>
      <c r="D165" s="52"/>
      <c r="E165" s="69"/>
      <c r="F165" s="69"/>
      <c r="G165" s="69"/>
      <c r="H165" s="69"/>
      <c r="I165" s="69"/>
      <c r="J165" s="69"/>
      <c r="K165" s="69"/>
      <c r="L165" s="69"/>
      <c r="M165" s="69"/>
    </row>
    <row r="166" spans="2:13" x14ac:dyDescent="0.25">
      <c r="B166" s="66"/>
      <c r="C166" s="66"/>
      <c r="D166" s="52"/>
      <c r="E166" s="69"/>
      <c r="F166" s="69"/>
      <c r="G166" s="69"/>
      <c r="H166" s="69"/>
      <c r="I166" s="69"/>
      <c r="J166" s="69"/>
      <c r="K166" s="69"/>
      <c r="L166" s="69"/>
      <c r="M166" s="69"/>
    </row>
    <row r="167" spans="2:13" x14ac:dyDescent="0.25">
      <c r="B167" s="66"/>
      <c r="C167" s="66"/>
      <c r="D167" s="52"/>
      <c r="E167" s="69"/>
      <c r="F167" s="69"/>
      <c r="G167" s="69"/>
      <c r="H167" s="69"/>
      <c r="I167" s="69"/>
      <c r="J167" s="69"/>
      <c r="K167" s="69"/>
      <c r="L167" s="69"/>
      <c r="M167" s="69"/>
    </row>
    <row r="168" spans="2:13" x14ac:dyDescent="0.25">
      <c r="B168" s="66"/>
      <c r="C168" s="66"/>
      <c r="D168" s="52"/>
      <c r="E168" s="69"/>
      <c r="F168" s="69"/>
      <c r="G168" s="69"/>
      <c r="H168" s="69"/>
      <c r="I168" s="69"/>
      <c r="J168" s="69"/>
      <c r="K168" s="69"/>
      <c r="L168" s="69"/>
      <c r="M168" s="69"/>
    </row>
    <row r="169" spans="2:13" x14ac:dyDescent="0.25">
      <c r="B169" s="66"/>
      <c r="C169" s="66"/>
      <c r="D169" s="52"/>
      <c r="E169" s="69"/>
      <c r="F169" s="69"/>
      <c r="G169" s="69"/>
      <c r="H169" s="69"/>
      <c r="I169" s="69"/>
      <c r="J169" s="69"/>
      <c r="K169" s="69"/>
      <c r="L169" s="69"/>
      <c r="M169" s="69"/>
    </row>
    <row r="170" spans="2:13" x14ac:dyDescent="0.25">
      <c r="B170" s="66"/>
      <c r="C170" s="66"/>
      <c r="D170" s="52"/>
      <c r="E170" s="69"/>
      <c r="F170" s="69"/>
      <c r="G170" s="69"/>
      <c r="H170" s="69"/>
      <c r="I170" s="69"/>
      <c r="J170" s="69"/>
      <c r="K170" s="69"/>
      <c r="L170" s="69"/>
      <c r="M170" s="69"/>
    </row>
    <row r="171" spans="2:13" x14ac:dyDescent="0.25">
      <c r="B171" s="66"/>
      <c r="C171" s="66"/>
      <c r="D171" s="52"/>
      <c r="E171" s="69"/>
      <c r="F171" s="69"/>
      <c r="G171" s="69"/>
      <c r="H171" s="69"/>
      <c r="I171" s="69"/>
      <c r="J171" s="69"/>
      <c r="K171" s="69"/>
      <c r="L171" s="69"/>
      <c r="M171" s="69"/>
    </row>
    <row r="172" spans="2:13" x14ac:dyDescent="0.25">
      <c r="B172" s="66"/>
      <c r="C172" s="66"/>
      <c r="D172" s="52"/>
      <c r="E172" s="69"/>
      <c r="F172" s="69"/>
      <c r="G172" s="69"/>
      <c r="H172" s="69"/>
      <c r="I172" s="69"/>
      <c r="J172" s="69"/>
      <c r="K172" s="69"/>
      <c r="L172" s="69"/>
      <c r="M172" s="69"/>
    </row>
    <row r="173" spans="2:13" x14ac:dyDescent="0.25">
      <c r="B173" s="66"/>
      <c r="C173" s="66"/>
      <c r="D173" s="52"/>
      <c r="E173" s="69"/>
      <c r="F173" s="69"/>
      <c r="G173" s="69"/>
      <c r="H173" s="69"/>
      <c r="I173" s="69"/>
      <c r="J173" s="69"/>
      <c r="K173" s="69"/>
      <c r="L173" s="69"/>
      <c r="M173" s="69"/>
    </row>
    <row r="174" spans="2:13" x14ac:dyDescent="0.25">
      <c r="B174" s="66"/>
      <c r="C174" s="66"/>
      <c r="D174" s="52"/>
      <c r="E174" s="69"/>
      <c r="F174" s="69"/>
      <c r="G174" s="69"/>
      <c r="H174" s="69"/>
      <c r="I174" s="69"/>
      <c r="J174" s="69"/>
      <c r="K174" s="69"/>
      <c r="L174" s="69"/>
      <c r="M174" s="69"/>
    </row>
    <row r="175" spans="2:13" x14ac:dyDescent="0.25">
      <c r="B175" s="66"/>
      <c r="C175" s="66"/>
      <c r="D175" s="52"/>
      <c r="E175" s="69"/>
      <c r="F175" s="69"/>
      <c r="G175" s="69"/>
      <c r="H175" s="69"/>
      <c r="I175" s="69"/>
      <c r="J175" s="69"/>
      <c r="K175" s="69"/>
      <c r="L175" s="69"/>
      <c r="M175" s="69"/>
    </row>
    <row r="176" spans="2:13" x14ac:dyDescent="0.25">
      <c r="B176" s="66"/>
      <c r="C176" s="66"/>
      <c r="D176" s="52"/>
      <c r="E176" s="69"/>
      <c r="F176" s="69"/>
      <c r="G176" s="69"/>
      <c r="H176" s="69"/>
      <c r="I176" s="69"/>
      <c r="J176" s="69"/>
      <c r="K176" s="69"/>
      <c r="L176" s="69"/>
      <c r="M176" s="69"/>
    </row>
    <row r="177" spans="2:13" x14ac:dyDescent="0.25">
      <c r="B177" s="66"/>
      <c r="C177" s="66"/>
      <c r="D177" s="52"/>
      <c r="E177" s="69"/>
      <c r="F177" s="69"/>
      <c r="G177" s="69"/>
      <c r="H177" s="69"/>
      <c r="I177" s="69"/>
      <c r="J177" s="69"/>
      <c r="K177" s="69"/>
      <c r="L177" s="69"/>
      <c r="M177" s="69"/>
    </row>
    <row r="178" spans="2:13" x14ac:dyDescent="0.25">
      <c r="B178" s="66"/>
      <c r="C178" s="66"/>
      <c r="D178" s="52"/>
      <c r="E178" s="69"/>
      <c r="F178" s="69"/>
      <c r="G178" s="69"/>
      <c r="H178" s="69"/>
      <c r="I178" s="69"/>
      <c r="J178" s="69"/>
      <c r="K178" s="69"/>
      <c r="L178" s="69"/>
      <c r="M178" s="69"/>
    </row>
    <row r="179" spans="2:13" x14ac:dyDescent="0.25">
      <c r="B179" s="66"/>
      <c r="C179" s="66"/>
      <c r="D179" s="52"/>
      <c r="E179" s="69"/>
      <c r="F179" s="69"/>
      <c r="G179" s="69"/>
      <c r="H179" s="69"/>
      <c r="I179" s="69"/>
      <c r="J179" s="69"/>
      <c r="K179" s="69"/>
      <c r="L179" s="69"/>
      <c r="M179" s="69"/>
    </row>
    <row r="180" spans="2:13" x14ac:dyDescent="0.25">
      <c r="B180" s="66"/>
      <c r="C180" s="66"/>
      <c r="D180" s="52"/>
      <c r="E180" s="69"/>
      <c r="F180" s="69"/>
      <c r="G180" s="69"/>
      <c r="H180" s="69"/>
      <c r="I180" s="69"/>
      <c r="J180" s="69"/>
      <c r="K180" s="69"/>
      <c r="L180" s="69"/>
      <c r="M180" s="69"/>
    </row>
    <row r="181" spans="2:13" x14ac:dyDescent="0.25">
      <c r="B181" s="66"/>
      <c r="C181" s="66"/>
      <c r="D181" s="52"/>
      <c r="E181" s="69"/>
      <c r="F181" s="69"/>
      <c r="G181" s="69"/>
      <c r="H181" s="69"/>
      <c r="I181" s="69"/>
      <c r="J181" s="69"/>
      <c r="K181" s="69"/>
      <c r="L181" s="69"/>
      <c r="M181" s="69"/>
    </row>
    <row r="182" spans="2:13" x14ac:dyDescent="0.25">
      <c r="B182" s="66"/>
      <c r="C182" s="66"/>
      <c r="D182" s="52"/>
      <c r="E182" s="69"/>
      <c r="F182" s="69"/>
      <c r="G182" s="69"/>
      <c r="H182" s="69"/>
      <c r="I182" s="69"/>
      <c r="J182" s="69"/>
      <c r="K182" s="69"/>
      <c r="L182" s="69"/>
      <c r="M182" s="69"/>
    </row>
    <row r="183" spans="2:13" x14ac:dyDescent="0.25">
      <c r="B183" s="66"/>
      <c r="C183" s="66"/>
      <c r="D183" s="52"/>
      <c r="E183" s="69"/>
      <c r="F183" s="69"/>
      <c r="G183" s="69"/>
      <c r="H183" s="69"/>
      <c r="I183" s="69"/>
      <c r="J183" s="69"/>
      <c r="K183" s="69"/>
      <c r="L183" s="69"/>
      <c r="M183" s="69"/>
    </row>
    <row r="184" spans="2:13" x14ac:dyDescent="0.25">
      <c r="B184" s="66"/>
      <c r="C184" s="66"/>
      <c r="D184" s="52"/>
      <c r="E184" s="69"/>
      <c r="F184" s="69"/>
      <c r="G184" s="69"/>
      <c r="H184" s="69"/>
      <c r="I184" s="69"/>
      <c r="J184" s="69"/>
      <c r="K184" s="69"/>
      <c r="L184" s="69"/>
      <c r="M184" s="69"/>
    </row>
    <row r="185" spans="2:13" x14ac:dyDescent="0.25">
      <c r="B185" s="66"/>
      <c r="C185" s="66"/>
      <c r="D185" s="52"/>
      <c r="E185" s="69"/>
      <c r="F185" s="69"/>
      <c r="G185" s="69"/>
      <c r="H185" s="69"/>
      <c r="I185" s="69"/>
      <c r="J185" s="69"/>
      <c r="K185" s="69"/>
      <c r="L185" s="69"/>
      <c r="M185" s="69"/>
    </row>
    <row r="186" spans="2:13" x14ac:dyDescent="0.25">
      <c r="B186" s="66"/>
      <c r="C186" s="66"/>
      <c r="D186" s="52"/>
      <c r="E186" s="69"/>
      <c r="F186" s="69"/>
      <c r="G186" s="69"/>
      <c r="H186" s="69"/>
      <c r="I186" s="69"/>
      <c r="J186" s="69"/>
      <c r="K186" s="69"/>
      <c r="L186" s="69"/>
      <c r="M186" s="69"/>
    </row>
    <row r="187" spans="2:13" x14ac:dyDescent="0.25">
      <c r="B187" s="66"/>
      <c r="C187" s="66"/>
      <c r="D187" s="52"/>
      <c r="E187" s="69"/>
      <c r="F187" s="69"/>
      <c r="G187" s="69"/>
      <c r="H187" s="69"/>
      <c r="I187" s="69"/>
      <c r="J187" s="69"/>
      <c r="K187" s="69"/>
      <c r="L187" s="69"/>
      <c r="M187" s="69"/>
    </row>
    <row r="188" spans="2:13" x14ac:dyDescent="0.25">
      <c r="B188" s="66"/>
      <c r="C188" s="66"/>
      <c r="D188" s="52"/>
      <c r="E188" s="69"/>
      <c r="F188" s="69"/>
      <c r="G188" s="69"/>
      <c r="H188" s="69"/>
      <c r="I188" s="69"/>
      <c r="J188" s="69"/>
      <c r="K188" s="69"/>
      <c r="L188" s="69"/>
      <c r="M188" s="69"/>
    </row>
    <row r="189" spans="2:13" x14ac:dyDescent="0.25">
      <c r="B189" s="66"/>
      <c r="C189" s="66"/>
      <c r="D189" s="52"/>
      <c r="E189" s="69"/>
      <c r="F189" s="69"/>
      <c r="G189" s="69"/>
      <c r="H189" s="69"/>
      <c r="I189" s="69"/>
      <c r="J189" s="69"/>
      <c r="K189" s="69"/>
      <c r="L189" s="69"/>
      <c r="M189" s="69"/>
    </row>
    <row r="190" spans="2:13" x14ac:dyDescent="0.25">
      <c r="B190" s="66"/>
      <c r="C190" s="66"/>
      <c r="D190" s="52"/>
      <c r="E190" s="69"/>
      <c r="F190" s="69"/>
      <c r="G190" s="69"/>
      <c r="H190" s="69"/>
      <c r="I190" s="69"/>
      <c r="J190" s="69"/>
      <c r="K190" s="69"/>
      <c r="L190" s="69"/>
      <c r="M190" s="69"/>
    </row>
    <row r="191" spans="2:13" x14ac:dyDescent="0.25">
      <c r="B191" s="66"/>
      <c r="C191" s="66"/>
      <c r="D191" s="52"/>
      <c r="E191" s="69"/>
      <c r="F191" s="69"/>
      <c r="G191" s="69"/>
      <c r="H191" s="69"/>
      <c r="I191" s="69"/>
      <c r="J191" s="69"/>
      <c r="K191" s="69"/>
      <c r="L191" s="69"/>
      <c r="M191" s="69"/>
    </row>
    <row r="192" spans="2:13" x14ac:dyDescent="0.25">
      <c r="B192" s="66"/>
      <c r="C192" s="66"/>
      <c r="D192" s="52"/>
      <c r="E192" s="69"/>
      <c r="F192" s="69"/>
      <c r="G192" s="69"/>
      <c r="H192" s="69"/>
      <c r="I192" s="69"/>
      <c r="J192" s="69"/>
      <c r="K192" s="69"/>
      <c r="L192" s="69"/>
      <c r="M192" s="69"/>
    </row>
    <row r="193" spans="2:13" x14ac:dyDescent="0.25">
      <c r="B193" s="66"/>
      <c r="C193" s="66"/>
      <c r="D193" s="52"/>
      <c r="E193" s="69"/>
      <c r="F193" s="69"/>
      <c r="G193" s="69"/>
      <c r="H193" s="69"/>
      <c r="I193" s="69"/>
      <c r="J193" s="69"/>
      <c r="K193" s="69"/>
      <c r="L193" s="69"/>
      <c r="M193" s="69"/>
    </row>
    <row r="194" spans="2:13" x14ac:dyDescent="0.25">
      <c r="B194" s="66"/>
      <c r="C194" s="66"/>
      <c r="D194" s="52"/>
      <c r="E194" s="69"/>
      <c r="F194" s="69"/>
      <c r="G194" s="69"/>
      <c r="H194" s="69"/>
      <c r="I194" s="69"/>
      <c r="J194" s="69"/>
      <c r="K194" s="69"/>
      <c r="L194" s="69"/>
      <c r="M194" s="69"/>
    </row>
    <row r="195" spans="2:13" x14ac:dyDescent="0.25">
      <c r="B195" s="66"/>
      <c r="C195" s="66"/>
      <c r="D195" s="52"/>
      <c r="E195" s="69"/>
      <c r="F195" s="69"/>
      <c r="G195" s="69"/>
      <c r="H195" s="69"/>
      <c r="I195" s="69"/>
      <c r="J195" s="69"/>
      <c r="K195" s="69"/>
      <c r="L195" s="69"/>
      <c r="M195" s="69"/>
    </row>
    <row r="196" spans="2:13" x14ac:dyDescent="0.25">
      <c r="B196" s="66"/>
      <c r="C196" s="66"/>
      <c r="D196" s="52"/>
      <c r="E196" s="69"/>
      <c r="F196" s="69"/>
      <c r="G196" s="69"/>
      <c r="H196" s="69"/>
      <c r="I196" s="69"/>
      <c r="J196" s="69"/>
      <c r="K196" s="69"/>
      <c r="L196" s="69"/>
      <c r="M196" s="69"/>
    </row>
    <row r="197" spans="2:13" x14ac:dyDescent="0.25">
      <c r="B197" s="66"/>
      <c r="C197" s="66"/>
      <c r="D197" s="52"/>
      <c r="E197" s="69"/>
      <c r="F197" s="69"/>
      <c r="G197" s="69"/>
      <c r="H197" s="69"/>
      <c r="I197" s="69"/>
      <c r="J197" s="69"/>
      <c r="K197" s="69"/>
      <c r="L197" s="69"/>
      <c r="M197" s="69"/>
    </row>
    <row r="198" spans="2:13" x14ac:dyDescent="0.25">
      <c r="B198" s="66"/>
      <c r="C198" s="66"/>
      <c r="D198" s="52"/>
      <c r="E198" s="69"/>
      <c r="F198" s="69"/>
      <c r="G198" s="69"/>
      <c r="H198" s="69"/>
      <c r="I198" s="69"/>
      <c r="J198" s="69"/>
      <c r="K198" s="69"/>
      <c r="L198" s="69"/>
      <c r="M198" s="69"/>
    </row>
    <row r="199" spans="2:13" x14ac:dyDescent="0.25">
      <c r="B199" s="66"/>
      <c r="C199" s="66"/>
      <c r="D199" s="52"/>
      <c r="E199" s="69"/>
      <c r="F199" s="69"/>
      <c r="G199" s="69"/>
      <c r="H199" s="69"/>
      <c r="I199" s="69"/>
      <c r="J199" s="69"/>
      <c r="K199" s="69"/>
      <c r="L199" s="69"/>
      <c r="M199" s="69"/>
    </row>
    <row r="200" spans="2:13" x14ac:dyDescent="0.25">
      <c r="B200" s="66"/>
      <c r="C200" s="66"/>
      <c r="D200" s="52"/>
      <c r="E200" s="69"/>
      <c r="F200" s="69"/>
      <c r="G200" s="69"/>
      <c r="H200" s="69"/>
      <c r="I200" s="69"/>
      <c r="J200" s="69"/>
      <c r="K200" s="69"/>
      <c r="L200" s="69"/>
      <c r="M200" s="69"/>
    </row>
    <row r="201" spans="2:13" x14ac:dyDescent="0.25">
      <c r="B201" s="66"/>
      <c r="C201" s="66"/>
      <c r="D201" s="52"/>
      <c r="E201" s="69"/>
      <c r="F201" s="69"/>
      <c r="G201" s="69"/>
      <c r="H201" s="69"/>
      <c r="I201" s="69"/>
      <c r="J201" s="69"/>
      <c r="K201" s="69"/>
      <c r="L201" s="69"/>
      <c r="M201" s="69"/>
    </row>
    <row r="202" spans="2:13" x14ac:dyDescent="0.25">
      <c r="B202" s="66"/>
      <c r="C202" s="66"/>
      <c r="D202" s="52"/>
      <c r="E202" s="69"/>
      <c r="F202" s="69"/>
      <c r="G202" s="69"/>
      <c r="H202" s="69"/>
      <c r="I202" s="69"/>
      <c r="J202" s="69"/>
      <c r="K202" s="69"/>
      <c r="L202" s="69"/>
      <c r="M202" s="69"/>
    </row>
    <row r="203" spans="2:13" x14ac:dyDescent="0.25">
      <c r="B203" s="66"/>
      <c r="C203" s="66"/>
      <c r="D203" s="52"/>
      <c r="E203" s="69"/>
      <c r="F203" s="69"/>
      <c r="G203" s="69"/>
      <c r="H203" s="69"/>
      <c r="I203" s="69"/>
      <c r="J203" s="69"/>
      <c r="K203" s="69"/>
      <c r="L203" s="69"/>
      <c r="M203" s="69"/>
    </row>
    <row r="204" spans="2:13" x14ac:dyDescent="0.25">
      <c r="B204" s="66"/>
      <c r="C204" s="66"/>
      <c r="D204" s="52"/>
      <c r="E204" s="69"/>
      <c r="F204" s="69"/>
      <c r="G204" s="69"/>
      <c r="H204" s="69"/>
      <c r="I204" s="69"/>
      <c r="J204" s="69"/>
      <c r="K204" s="69"/>
      <c r="L204" s="69"/>
      <c r="M204" s="69"/>
    </row>
    <row r="205" spans="2:13" x14ac:dyDescent="0.25">
      <c r="B205" s="66"/>
      <c r="C205" s="66"/>
      <c r="D205" s="52"/>
      <c r="E205" s="69"/>
      <c r="F205" s="69"/>
      <c r="G205" s="69"/>
      <c r="H205" s="69"/>
      <c r="I205" s="69"/>
      <c r="J205" s="69"/>
      <c r="K205" s="69"/>
      <c r="L205" s="69"/>
      <c r="M205" s="69"/>
    </row>
    <row r="206" spans="2:13" x14ac:dyDescent="0.25">
      <c r="B206" s="66"/>
      <c r="C206" s="66"/>
      <c r="D206" s="52"/>
      <c r="E206" s="69"/>
      <c r="F206" s="69"/>
      <c r="G206" s="69"/>
      <c r="H206" s="69"/>
      <c r="I206" s="69"/>
      <c r="J206" s="69"/>
      <c r="K206" s="69"/>
      <c r="L206" s="69"/>
      <c r="M206" s="69"/>
    </row>
    <row r="207" spans="2:13" x14ac:dyDescent="0.25">
      <c r="B207" s="66"/>
      <c r="C207" s="66"/>
      <c r="D207" s="52"/>
      <c r="E207" s="69"/>
      <c r="F207" s="69"/>
      <c r="G207" s="69"/>
      <c r="H207" s="69"/>
      <c r="I207" s="69"/>
      <c r="J207" s="69"/>
      <c r="K207" s="69"/>
      <c r="L207" s="69"/>
      <c r="M207" s="69"/>
    </row>
    <row r="208" spans="2:13" x14ac:dyDescent="0.25">
      <c r="B208" s="66"/>
      <c r="C208" s="66"/>
      <c r="D208" s="52"/>
      <c r="E208" s="69"/>
      <c r="F208" s="69"/>
      <c r="G208" s="69"/>
      <c r="H208" s="69"/>
      <c r="I208" s="69"/>
      <c r="J208" s="69"/>
      <c r="K208" s="69"/>
      <c r="L208" s="69"/>
      <c r="M208" s="69"/>
    </row>
    <row r="209" spans="2:13" x14ac:dyDescent="0.25">
      <c r="B209" s="66"/>
      <c r="C209" s="66"/>
      <c r="D209" s="52"/>
      <c r="E209" s="69"/>
      <c r="F209" s="69"/>
      <c r="G209" s="69"/>
      <c r="H209" s="69"/>
      <c r="I209" s="69"/>
      <c r="J209" s="69"/>
      <c r="K209" s="69"/>
      <c r="L209" s="69"/>
      <c r="M209" s="69"/>
    </row>
    <row r="210" spans="2:13" x14ac:dyDescent="0.25">
      <c r="B210" s="66"/>
      <c r="C210" s="66"/>
      <c r="D210" s="52"/>
      <c r="E210" s="69"/>
      <c r="F210" s="69"/>
      <c r="G210" s="69"/>
      <c r="H210" s="69"/>
      <c r="I210" s="69"/>
      <c r="J210" s="69"/>
      <c r="K210" s="69"/>
      <c r="L210" s="69"/>
      <c r="M210" s="69"/>
    </row>
    <row r="211" spans="2:13" x14ac:dyDescent="0.25">
      <c r="B211" s="66"/>
      <c r="C211" s="66"/>
      <c r="D211" s="52"/>
      <c r="E211" s="69"/>
      <c r="F211" s="69"/>
      <c r="G211" s="69"/>
      <c r="H211" s="69"/>
      <c r="I211" s="69"/>
      <c r="J211" s="69"/>
      <c r="K211" s="69"/>
      <c r="L211" s="69"/>
      <c r="M211" s="69"/>
    </row>
    <row r="212" spans="2:13" x14ac:dyDescent="0.25">
      <c r="B212" s="66"/>
      <c r="C212" s="66"/>
      <c r="D212" s="52"/>
      <c r="E212" s="69"/>
      <c r="F212" s="69"/>
      <c r="G212" s="69"/>
      <c r="H212" s="69"/>
      <c r="I212" s="69"/>
      <c r="J212" s="69"/>
      <c r="K212" s="69"/>
      <c r="L212" s="69"/>
      <c r="M212" s="69"/>
    </row>
    <row r="213" spans="2:13" x14ac:dyDescent="0.25">
      <c r="B213" s="66"/>
      <c r="C213" s="66"/>
      <c r="D213" s="52"/>
      <c r="E213" s="69"/>
      <c r="F213" s="69"/>
      <c r="G213" s="69"/>
      <c r="H213" s="69"/>
      <c r="I213" s="69"/>
      <c r="J213" s="69"/>
      <c r="K213" s="69"/>
      <c r="L213" s="69"/>
      <c r="M213" s="69"/>
    </row>
    <row r="214" spans="2:13" x14ac:dyDescent="0.25">
      <c r="B214" s="66"/>
      <c r="C214" s="66"/>
      <c r="D214" s="52"/>
      <c r="E214" s="69"/>
      <c r="F214" s="69"/>
      <c r="G214" s="69"/>
      <c r="H214" s="69"/>
      <c r="I214" s="69"/>
      <c r="J214" s="69"/>
      <c r="K214" s="69"/>
      <c r="L214" s="69"/>
      <c r="M214" s="69"/>
    </row>
    <row r="215" spans="2:13" x14ac:dyDescent="0.25">
      <c r="B215" s="66"/>
      <c r="C215" s="66"/>
      <c r="D215" s="52"/>
      <c r="E215" s="69"/>
      <c r="F215" s="69"/>
      <c r="G215" s="69"/>
      <c r="H215" s="69"/>
      <c r="I215" s="69"/>
      <c r="J215" s="69"/>
      <c r="K215" s="69"/>
      <c r="L215" s="69"/>
      <c r="M215" s="69"/>
    </row>
    <row r="216" spans="2:13" x14ac:dyDescent="0.25">
      <c r="B216" s="66"/>
      <c r="C216" s="66"/>
      <c r="D216" s="52"/>
      <c r="E216" s="69"/>
      <c r="F216" s="69"/>
      <c r="G216" s="69"/>
      <c r="H216" s="69"/>
      <c r="I216" s="69"/>
      <c r="J216" s="69"/>
      <c r="K216" s="69"/>
      <c r="L216" s="69"/>
      <c r="M216" s="69"/>
    </row>
    <row r="217" spans="2:13" x14ac:dyDescent="0.25">
      <c r="B217" s="66"/>
      <c r="C217" s="66"/>
      <c r="D217" s="52"/>
      <c r="E217" s="69"/>
      <c r="F217" s="69"/>
      <c r="G217" s="69"/>
      <c r="H217" s="69"/>
      <c r="I217" s="69"/>
      <c r="J217" s="69"/>
      <c r="K217" s="69"/>
      <c r="L217" s="69"/>
      <c r="M217" s="69"/>
    </row>
    <row r="218" spans="2:13" x14ac:dyDescent="0.25">
      <c r="B218" s="66"/>
      <c r="C218" s="66"/>
      <c r="D218" s="52"/>
      <c r="E218" s="69"/>
      <c r="F218" s="69"/>
      <c r="G218" s="69"/>
      <c r="H218" s="69"/>
      <c r="I218" s="69"/>
      <c r="J218" s="69"/>
      <c r="K218" s="69"/>
      <c r="L218" s="69"/>
      <c r="M218" s="69"/>
    </row>
    <row r="219" spans="2:13" x14ac:dyDescent="0.25">
      <c r="B219" s="66"/>
      <c r="C219" s="66"/>
      <c r="D219" s="52"/>
      <c r="E219" s="69"/>
      <c r="F219" s="69"/>
      <c r="G219" s="69"/>
      <c r="H219" s="69"/>
      <c r="I219" s="69"/>
      <c r="J219" s="69"/>
      <c r="K219" s="69"/>
      <c r="L219" s="69"/>
      <c r="M219" s="69"/>
    </row>
    <row r="220" spans="2:13" x14ac:dyDescent="0.25">
      <c r="B220" s="66"/>
      <c r="C220" s="66"/>
      <c r="D220" s="52"/>
      <c r="E220" s="69"/>
      <c r="F220" s="69"/>
      <c r="G220" s="69"/>
      <c r="H220" s="69"/>
      <c r="I220" s="69"/>
      <c r="J220" s="69"/>
      <c r="K220" s="69"/>
      <c r="L220" s="69"/>
      <c r="M220" s="69"/>
    </row>
    <row r="221" spans="2:13" x14ac:dyDescent="0.25">
      <c r="B221" s="66"/>
      <c r="C221" s="66"/>
      <c r="D221" s="52"/>
      <c r="E221" s="69"/>
      <c r="F221" s="69"/>
      <c r="G221" s="69"/>
      <c r="H221" s="69"/>
      <c r="I221" s="69"/>
      <c r="J221" s="69"/>
      <c r="K221" s="69"/>
      <c r="L221" s="69"/>
      <c r="M221" s="69"/>
    </row>
    <row r="222" spans="2:13" x14ac:dyDescent="0.25">
      <c r="B222" s="66"/>
      <c r="C222" s="66"/>
      <c r="D222" s="52"/>
      <c r="E222" s="69"/>
      <c r="F222" s="69"/>
      <c r="G222" s="69"/>
      <c r="H222" s="69"/>
      <c r="I222" s="69"/>
      <c r="J222" s="69"/>
      <c r="K222" s="69"/>
      <c r="L222" s="69"/>
      <c r="M222" s="69"/>
    </row>
    <row r="223" spans="2:13" x14ac:dyDescent="0.25">
      <c r="B223" s="66"/>
      <c r="C223" s="66"/>
      <c r="D223" s="52"/>
      <c r="E223" s="69"/>
      <c r="F223" s="69"/>
      <c r="G223" s="69"/>
      <c r="H223" s="69"/>
      <c r="I223" s="69"/>
      <c r="J223" s="69"/>
      <c r="K223" s="69"/>
      <c r="L223" s="69"/>
      <c r="M223" s="69"/>
    </row>
    <row r="224" spans="2:13" x14ac:dyDescent="0.25">
      <c r="B224" s="66"/>
      <c r="C224" s="66"/>
      <c r="D224" s="52"/>
      <c r="E224" s="69"/>
      <c r="F224" s="69"/>
      <c r="G224" s="69"/>
      <c r="H224" s="69"/>
      <c r="I224" s="69"/>
      <c r="J224" s="69"/>
      <c r="K224" s="69"/>
      <c r="L224" s="69"/>
      <c r="M224" s="69"/>
    </row>
    <row r="225" spans="2:13" x14ac:dyDescent="0.25">
      <c r="B225" s="66"/>
      <c r="C225" s="66"/>
      <c r="D225" s="52"/>
      <c r="E225" s="69"/>
      <c r="F225" s="69"/>
      <c r="G225" s="69"/>
      <c r="H225" s="69"/>
      <c r="I225" s="69"/>
      <c r="J225" s="69"/>
      <c r="K225" s="69"/>
      <c r="L225" s="69"/>
      <c r="M225" s="69"/>
    </row>
    <row r="226" spans="2:13" x14ac:dyDescent="0.25">
      <c r="B226" s="66"/>
      <c r="C226" s="66"/>
      <c r="D226" s="52"/>
      <c r="E226" s="69"/>
      <c r="F226" s="69"/>
      <c r="G226" s="69"/>
      <c r="H226" s="69"/>
      <c r="I226" s="69"/>
      <c r="J226" s="69"/>
      <c r="K226" s="69"/>
      <c r="L226" s="69"/>
      <c r="M226" s="69"/>
    </row>
    <row r="227" spans="2:13" x14ac:dyDescent="0.25">
      <c r="B227" s="66"/>
      <c r="C227" s="66"/>
      <c r="D227" s="52"/>
      <c r="E227" s="69"/>
      <c r="F227" s="69"/>
      <c r="G227" s="69"/>
      <c r="H227" s="69"/>
      <c r="I227" s="69"/>
      <c r="J227" s="69"/>
      <c r="K227" s="69"/>
      <c r="L227" s="69"/>
      <c r="M227" s="69"/>
    </row>
    <row r="228" spans="2:13" x14ac:dyDescent="0.25">
      <c r="B228" s="66"/>
      <c r="C228" s="66"/>
      <c r="D228" s="52"/>
      <c r="E228" s="69"/>
      <c r="F228" s="69"/>
      <c r="G228" s="69"/>
      <c r="H228" s="69"/>
      <c r="I228" s="69"/>
      <c r="J228" s="69"/>
      <c r="K228" s="69"/>
      <c r="L228" s="69"/>
      <c r="M228" s="69"/>
    </row>
    <row r="229" spans="2:13" x14ac:dyDescent="0.25">
      <c r="B229" s="66"/>
      <c r="C229" s="66"/>
      <c r="D229" s="52"/>
      <c r="E229" s="69"/>
      <c r="F229" s="69"/>
      <c r="G229" s="69"/>
      <c r="H229" s="69"/>
      <c r="I229" s="69"/>
      <c r="J229" s="69"/>
      <c r="K229" s="69"/>
      <c r="L229" s="69"/>
      <c r="M229" s="69"/>
    </row>
    <row r="230" spans="2:13" x14ac:dyDescent="0.25">
      <c r="B230" s="66"/>
      <c r="C230" s="66"/>
      <c r="D230" s="52"/>
      <c r="E230" s="69"/>
      <c r="F230" s="69"/>
      <c r="G230" s="69"/>
      <c r="H230" s="69"/>
      <c r="I230" s="69"/>
      <c r="J230" s="69"/>
      <c r="K230" s="69"/>
      <c r="L230" s="69"/>
      <c r="M230" s="69"/>
    </row>
    <row r="231" spans="2:13" x14ac:dyDescent="0.25">
      <c r="B231" s="66"/>
      <c r="C231" s="66"/>
      <c r="D231" s="52"/>
      <c r="E231" s="69"/>
      <c r="F231" s="69"/>
      <c r="G231" s="69"/>
      <c r="H231" s="69"/>
      <c r="I231" s="69"/>
      <c r="J231" s="69"/>
      <c r="K231" s="69"/>
      <c r="L231" s="69"/>
      <c r="M231" s="69"/>
    </row>
    <row r="232" spans="2:13" x14ac:dyDescent="0.25">
      <c r="B232" s="66"/>
      <c r="C232" s="66"/>
      <c r="D232" s="52"/>
      <c r="E232" s="69"/>
      <c r="F232" s="69"/>
      <c r="G232" s="69"/>
      <c r="H232" s="69"/>
      <c r="I232" s="69"/>
      <c r="J232" s="69"/>
      <c r="K232" s="69"/>
      <c r="L232" s="69"/>
      <c r="M232" s="69"/>
    </row>
    <row r="233" spans="2:13" x14ac:dyDescent="0.25">
      <c r="B233" s="66"/>
      <c r="C233" s="66"/>
      <c r="D233" s="52"/>
      <c r="E233" s="69"/>
      <c r="F233" s="69"/>
      <c r="G233" s="69"/>
      <c r="H233" s="69"/>
      <c r="I233" s="69"/>
      <c r="J233" s="69"/>
      <c r="K233" s="69"/>
      <c r="L233" s="69"/>
      <c r="M233" s="69"/>
    </row>
    <row r="234" spans="2:13" x14ac:dyDescent="0.25">
      <c r="B234" s="66"/>
      <c r="C234" s="66"/>
      <c r="D234" s="52"/>
      <c r="E234" s="69"/>
      <c r="F234" s="69"/>
      <c r="G234" s="69"/>
      <c r="H234" s="69"/>
      <c r="I234" s="69"/>
      <c r="J234" s="69"/>
      <c r="K234" s="69"/>
      <c r="L234" s="69"/>
      <c r="M234" s="69"/>
    </row>
    <row r="235" spans="2:13" x14ac:dyDescent="0.25">
      <c r="B235" s="66"/>
      <c r="C235" s="66"/>
      <c r="D235" s="52"/>
      <c r="E235" s="69"/>
      <c r="F235" s="69"/>
      <c r="G235" s="69"/>
      <c r="H235" s="69"/>
      <c r="I235" s="69"/>
      <c r="J235" s="69"/>
      <c r="K235" s="69"/>
      <c r="L235" s="69"/>
      <c r="M235" s="69"/>
    </row>
    <row r="236" spans="2:13" x14ac:dyDescent="0.25">
      <c r="B236" s="66"/>
      <c r="C236" s="66"/>
      <c r="D236" s="52"/>
      <c r="E236" s="69"/>
      <c r="F236" s="69"/>
      <c r="G236" s="69"/>
      <c r="H236" s="69"/>
      <c r="I236" s="69"/>
      <c r="J236" s="69"/>
      <c r="K236" s="69"/>
      <c r="L236" s="69"/>
      <c r="M236" s="69"/>
    </row>
    <row r="237" spans="2:13" x14ac:dyDescent="0.25">
      <c r="B237" s="66"/>
      <c r="C237" s="66"/>
      <c r="D237" s="52"/>
      <c r="E237" s="69"/>
      <c r="F237" s="69"/>
      <c r="G237" s="69"/>
      <c r="H237" s="69"/>
      <c r="I237" s="69"/>
      <c r="J237" s="69"/>
      <c r="K237" s="69"/>
      <c r="L237" s="69"/>
      <c r="M237" s="69"/>
    </row>
    <row r="238" spans="2:13" x14ac:dyDescent="0.25">
      <c r="B238" s="66"/>
      <c r="C238" s="66"/>
      <c r="D238" s="52"/>
      <c r="E238" s="69"/>
      <c r="F238" s="69"/>
      <c r="G238" s="69"/>
      <c r="H238" s="69"/>
      <c r="I238" s="69"/>
      <c r="J238" s="69"/>
      <c r="K238" s="69"/>
      <c r="L238" s="69"/>
      <c r="M238" s="69"/>
    </row>
    <row r="239" spans="2:13" x14ac:dyDescent="0.25">
      <c r="B239" s="66"/>
      <c r="C239" s="66"/>
      <c r="D239" s="52"/>
      <c r="E239" s="69"/>
      <c r="F239" s="69"/>
      <c r="G239" s="69"/>
      <c r="H239" s="69"/>
      <c r="I239" s="69"/>
      <c r="J239" s="69"/>
      <c r="K239" s="69"/>
      <c r="L239" s="69"/>
      <c r="M239" s="69"/>
    </row>
    <row r="240" spans="2:13" x14ac:dyDescent="0.25">
      <c r="B240" s="66"/>
      <c r="C240" s="66"/>
      <c r="D240" s="52"/>
      <c r="E240" s="69"/>
      <c r="F240" s="69"/>
      <c r="G240" s="69"/>
      <c r="H240" s="69"/>
      <c r="I240" s="69"/>
      <c r="J240" s="69"/>
      <c r="K240" s="69"/>
      <c r="L240" s="69"/>
      <c r="M240" s="69"/>
    </row>
    <row r="241" spans="2:13" x14ac:dyDescent="0.25">
      <c r="B241" s="66"/>
      <c r="C241" s="66"/>
      <c r="D241" s="52"/>
      <c r="E241" s="69"/>
      <c r="F241" s="69"/>
      <c r="G241" s="69"/>
      <c r="H241" s="69"/>
      <c r="I241" s="69"/>
      <c r="J241" s="69"/>
      <c r="K241" s="69"/>
      <c r="L241" s="69"/>
      <c r="M241" s="69"/>
    </row>
    <row r="242" spans="2:13" x14ac:dyDescent="0.25">
      <c r="B242" s="66"/>
      <c r="C242" s="66"/>
      <c r="D242" s="52"/>
      <c r="E242" s="69"/>
      <c r="F242" s="69"/>
      <c r="G242" s="69"/>
      <c r="H242" s="69"/>
      <c r="I242" s="69"/>
      <c r="J242" s="69"/>
      <c r="K242" s="69"/>
      <c r="L242" s="69"/>
      <c r="M242" s="69"/>
    </row>
    <row r="243" spans="2:13" x14ac:dyDescent="0.25">
      <c r="B243" s="66"/>
      <c r="C243" s="66"/>
      <c r="D243" s="52"/>
      <c r="E243" s="69"/>
      <c r="F243" s="69"/>
      <c r="G243" s="69"/>
      <c r="H243" s="69"/>
      <c r="I243" s="69"/>
      <c r="J243" s="69"/>
      <c r="K243" s="69"/>
      <c r="L243" s="69"/>
      <c r="M243" s="69"/>
    </row>
    <row r="244" spans="2:13" x14ac:dyDescent="0.25">
      <c r="B244" s="66"/>
      <c r="C244" s="66"/>
      <c r="D244" s="52"/>
      <c r="E244" s="69"/>
      <c r="F244" s="69"/>
      <c r="G244" s="69"/>
      <c r="H244" s="69"/>
      <c r="I244" s="69"/>
      <c r="J244" s="69"/>
      <c r="K244" s="69"/>
      <c r="L244" s="69"/>
      <c r="M244" s="69"/>
    </row>
    <row r="245" spans="2:13" x14ac:dyDescent="0.25">
      <c r="B245" s="66"/>
      <c r="C245" s="66"/>
      <c r="D245" s="52"/>
      <c r="E245" s="69"/>
      <c r="F245" s="69"/>
      <c r="G245" s="69"/>
      <c r="H245" s="69"/>
      <c r="I245" s="69"/>
      <c r="J245" s="69"/>
      <c r="K245" s="69"/>
      <c r="L245" s="69"/>
      <c r="M245" s="69"/>
    </row>
    <row r="246" spans="2:13" x14ac:dyDescent="0.25">
      <c r="B246" s="66"/>
      <c r="C246" s="66"/>
      <c r="D246" s="52"/>
      <c r="E246" s="69"/>
      <c r="F246" s="69"/>
      <c r="G246" s="69"/>
      <c r="H246" s="69"/>
      <c r="I246" s="69"/>
      <c r="J246" s="69"/>
      <c r="K246" s="69"/>
      <c r="L246" s="69"/>
      <c r="M246" s="69"/>
    </row>
    <row r="247" spans="2:13" x14ac:dyDescent="0.25">
      <c r="B247" s="66"/>
      <c r="C247" s="66"/>
      <c r="D247" s="52"/>
      <c r="E247" s="69"/>
      <c r="F247" s="69"/>
      <c r="G247" s="69"/>
      <c r="H247" s="69"/>
      <c r="I247" s="69"/>
      <c r="J247" s="69"/>
      <c r="K247" s="69"/>
      <c r="L247" s="69"/>
      <c r="M247" s="69"/>
    </row>
    <row r="248" spans="2:13" x14ac:dyDescent="0.25">
      <c r="B248" s="66"/>
      <c r="C248" s="66"/>
      <c r="D248" s="52"/>
      <c r="E248" s="69"/>
      <c r="F248" s="69"/>
      <c r="G248" s="69"/>
      <c r="H248" s="69"/>
      <c r="I248" s="69"/>
      <c r="J248" s="69"/>
      <c r="K248" s="69"/>
      <c r="L248" s="69"/>
      <c r="M248" s="69"/>
    </row>
    <row r="249" spans="2:13" x14ac:dyDescent="0.25">
      <c r="B249" s="66"/>
      <c r="C249" s="66"/>
      <c r="D249" s="52"/>
      <c r="E249" s="69"/>
      <c r="F249" s="69"/>
      <c r="G249" s="69"/>
      <c r="H249" s="69"/>
      <c r="I249" s="69"/>
      <c r="J249" s="69"/>
      <c r="K249" s="69"/>
      <c r="L249" s="69"/>
      <c r="M249" s="69"/>
    </row>
    <row r="250" spans="2:13" x14ac:dyDescent="0.25">
      <c r="B250" s="66"/>
      <c r="C250" s="66"/>
      <c r="D250" s="52"/>
      <c r="E250" s="69"/>
      <c r="F250" s="69"/>
      <c r="G250" s="69"/>
      <c r="H250" s="69"/>
      <c r="I250" s="69"/>
      <c r="J250" s="69"/>
      <c r="K250" s="69"/>
      <c r="L250" s="69"/>
      <c r="M250" s="69"/>
    </row>
    <row r="251" spans="2:13" x14ac:dyDescent="0.25">
      <c r="B251" s="66"/>
      <c r="C251" s="66"/>
      <c r="D251" s="52"/>
      <c r="E251" s="69"/>
      <c r="F251" s="69"/>
      <c r="G251" s="69"/>
      <c r="H251" s="69"/>
      <c r="I251" s="69"/>
      <c r="J251" s="69"/>
      <c r="K251" s="69"/>
      <c r="L251" s="69"/>
      <c r="M251" s="69"/>
    </row>
    <row r="252" spans="2:13" x14ac:dyDescent="0.25">
      <c r="B252" s="66"/>
      <c r="C252" s="66"/>
      <c r="D252" s="52"/>
      <c r="E252" s="69"/>
      <c r="F252" s="69"/>
      <c r="G252" s="69"/>
      <c r="H252" s="69"/>
      <c r="I252" s="69"/>
      <c r="J252" s="69"/>
      <c r="K252" s="69"/>
      <c r="L252" s="69"/>
      <c r="M252" s="69"/>
    </row>
    <row r="253" spans="2:13" x14ac:dyDescent="0.25">
      <c r="B253" s="66"/>
      <c r="C253" s="66"/>
      <c r="D253" s="52"/>
      <c r="E253" s="69"/>
      <c r="F253" s="69"/>
      <c r="G253" s="69"/>
      <c r="H253" s="69"/>
      <c r="I253" s="69"/>
      <c r="J253" s="69"/>
      <c r="K253" s="69"/>
      <c r="L253" s="69"/>
      <c r="M253" s="69"/>
    </row>
    <row r="254" spans="2:13" x14ac:dyDescent="0.25">
      <c r="B254" s="66"/>
      <c r="C254" s="66"/>
      <c r="D254" s="52"/>
      <c r="E254" s="69"/>
      <c r="F254" s="69"/>
      <c r="G254" s="69"/>
      <c r="H254" s="69"/>
      <c r="I254" s="69"/>
      <c r="J254" s="69"/>
      <c r="K254" s="69"/>
      <c r="L254" s="69"/>
      <c r="M254" s="69"/>
    </row>
    <row r="255" spans="2:13" x14ac:dyDescent="0.25">
      <c r="B255" s="66"/>
      <c r="C255" s="66"/>
      <c r="D255" s="52"/>
      <c r="E255" s="69"/>
      <c r="F255" s="69"/>
      <c r="G255" s="69"/>
      <c r="H255" s="69"/>
      <c r="I255" s="69"/>
      <c r="J255" s="69"/>
      <c r="K255" s="69"/>
      <c r="L255" s="69"/>
      <c r="M255" s="69"/>
    </row>
    <row r="256" spans="2:13" x14ac:dyDescent="0.25">
      <c r="B256" s="66"/>
      <c r="C256" s="66"/>
      <c r="D256" s="52"/>
      <c r="E256" s="69"/>
      <c r="F256" s="69"/>
      <c r="G256" s="69"/>
      <c r="H256" s="69"/>
      <c r="I256" s="69"/>
      <c r="J256" s="69"/>
      <c r="K256" s="69"/>
      <c r="L256" s="69"/>
      <c r="M256" s="69"/>
    </row>
    <row r="257" spans="2:13" x14ac:dyDescent="0.25">
      <c r="B257" s="66"/>
      <c r="C257" s="66"/>
      <c r="D257" s="52"/>
      <c r="E257" s="69"/>
      <c r="F257" s="69"/>
      <c r="G257" s="69"/>
      <c r="H257" s="69"/>
      <c r="I257" s="69"/>
      <c r="J257" s="69"/>
      <c r="K257" s="69"/>
      <c r="L257" s="69"/>
      <c r="M257" s="69"/>
    </row>
    <row r="258" spans="2:13" x14ac:dyDescent="0.25">
      <c r="B258" s="66"/>
      <c r="C258" s="66"/>
      <c r="D258" s="52"/>
      <c r="E258" s="69"/>
      <c r="F258" s="69"/>
      <c r="G258" s="69"/>
      <c r="H258" s="69"/>
      <c r="I258" s="69"/>
      <c r="J258" s="69"/>
      <c r="K258" s="69"/>
      <c r="L258" s="69"/>
      <c r="M258" s="69"/>
    </row>
    <row r="259" spans="2:13" x14ac:dyDescent="0.25">
      <c r="B259" s="66"/>
      <c r="C259" s="66"/>
      <c r="D259" s="52"/>
      <c r="E259" s="69"/>
      <c r="F259" s="69"/>
      <c r="G259" s="69"/>
      <c r="H259" s="69"/>
      <c r="I259" s="69"/>
      <c r="J259" s="69"/>
      <c r="K259" s="69"/>
      <c r="L259" s="69"/>
      <c r="M259" s="69"/>
    </row>
    <row r="260" spans="2:13" x14ac:dyDescent="0.25">
      <c r="B260" s="66"/>
      <c r="C260" s="66"/>
      <c r="D260" s="52"/>
      <c r="E260" s="69"/>
      <c r="F260" s="69"/>
      <c r="G260" s="69"/>
      <c r="H260" s="69"/>
      <c r="I260" s="69"/>
      <c r="J260" s="69"/>
      <c r="K260" s="69"/>
      <c r="L260" s="69"/>
      <c r="M260" s="69"/>
    </row>
    <row r="261" spans="2:13" x14ac:dyDescent="0.25">
      <c r="B261" s="66"/>
      <c r="C261" s="66"/>
      <c r="D261" s="52"/>
      <c r="E261" s="69"/>
      <c r="F261" s="69"/>
      <c r="G261" s="69"/>
      <c r="H261" s="69"/>
      <c r="I261" s="69"/>
      <c r="J261" s="69"/>
      <c r="K261" s="69"/>
      <c r="L261" s="69"/>
      <c r="M261" s="69"/>
    </row>
    <row r="262" spans="2:13" x14ac:dyDescent="0.25">
      <c r="B262" s="66"/>
      <c r="C262" s="66"/>
      <c r="D262" s="52"/>
      <c r="E262" s="69"/>
      <c r="F262" s="69"/>
      <c r="G262" s="69"/>
      <c r="H262" s="69"/>
      <c r="I262" s="69"/>
      <c r="J262" s="69"/>
      <c r="K262" s="69"/>
      <c r="L262" s="69"/>
      <c r="M262" s="69"/>
    </row>
    <row r="263" spans="2:13" x14ac:dyDescent="0.25">
      <c r="B263" s="66"/>
      <c r="C263" s="66"/>
      <c r="D263" s="52"/>
      <c r="E263" s="69"/>
      <c r="F263" s="69"/>
      <c r="G263" s="69"/>
      <c r="H263" s="69"/>
      <c r="I263" s="69"/>
      <c r="J263" s="69"/>
      <c r="K263" s="69"/>
      <c r="L263" s="69"/>
      <c r="M263" s="69"/>
    </row>
    <row r="264" spans="2:13" x14ac:dyDescent="0.25">
      <c r="B264" s="66"/>
      <c r="C264" s="66"/>
      <c r="D264" s="52"/>
      <c r="E264" s="69"/>
      <c r="F264" s="69"/>
      <c r="G264" s="69"/>
      <c r="H264" s="69"/>
      <c r="I264" s="69"/>
      <c r="J264" s="69"/>
      <c r="K264" s="69"/>
      <c r="L264" s="69"/>
      <c r="M264" s="69"/>
    </row>
    <row r="265" spans="2:13" x14ac:dyDescent="0.25">
      <c r="B265" s="66"/>
      <c r="C265" s="66"/>
      <c r="D265" s="52"/>
      <c r="E265" s="69"/>
      <c r="F265" s="69"/>
      <c r="G265" s="69"/>
      <c r="H265" s="69"/>
      <c r="I265" s="69"/>
      <c r="J265" s="69"/>
      <c r="K265" s="69"/>
      <c r="L265" s="69"/>
      <c r="M265" s="69"/>
    </row>
    <row r="266" spans="2:13" x14ac:dyDescent="0.25">
      <c r="B266" s="66"/>
      <c r="C266" s="66"/>
      <c r="D266" s="52"/>
      <c r="E266" s="69"/>
      <c r="F266" s="69"/>
      <c r="G266" s="69"/>
      <c r="H266" s="69"/>
      <c r="I266" s="69"/>
      <c r="J266" s="69"/>
      <c r="K266" s="69"/>
      <c r="L266" s="69"/>
      <c r="M266" s="69"/>
    </row>
    <row r="267" spans="2:13" x14ac:dyDescent="0.25">
      <c r="B267" s="66"/>
      <c r="C267" s="66"/>
      <c r="D267" s="52"/>
      <c r="E267" s="69"/>
      <c r="F267" s="69"/>
      <c r="G267" s="69"/>
      <c r="H267" s="69"/>
      <c r="I267" s="69"/>
      <c r="J267" s="69"/>
      <c r="K267" s="69"/>
      <c r="L267" s="69"/>
      <c r="M267" s="69"/>
    </row>
    <row r="268" spans="2:13" x14ac:dyDescent="0.25">
      <c r="B268" s="66"/>
      <c r="C268" s="66"/>
      <c r="D268" s="52"/>
      <c r="E268" s="69"/>
      <c r="F268" s="69"/>
      <c r="G268" s="69"/>
      <c r="H268" s="69"/>
      <c r="I268" s="69"/>
      <c r="J268" s="69"/>
      <c r="K268" s="69"/>
      <c r="L268" s="69"/>
      <c r="M268" s="69"/>
    </row>
    <row r="269" spans="2:13" x14ac:dyDescent="0.25">
      <c r="B269" s="66"/>
      <c r="C269" s="66"/>
      <c r="D269" s="52"/>
      <c r="E269" s="69"/>
      <c r="F269" s="69"/>
      <c r="G269" s="69"/>
      <c r="H269" s="69"/>
      <c r="I269" s="69"/>
      <c r="J269" s="69"/>
      <c r="K269" s="69"/>
      <c r="L269" s="69"/>
      <c r="M269" s="69"/>
    </row>
    <row r="270" spans="2:13" x14ac:dyDescent="0.25">
      <c r="B270" s="66"/>
      <c r="C270" s="66"/>
      <c r="D270" s="52"/>
      <c r="E270" s="69"/>
      <c r="F270" s="69"/>
      <c r="G270" s="69"/>
      <c r="H270" s="69"/>
      <c r="I270" s="69"/>
      <c r="J270" s="69"/>
      <c r="K270" s="69"/>
      <c r="L270" s="69"/>
      <c r="M270" s="69"/>
    </row>
    <row r="271" spans="2:13" x14ac:dyDescent="0.25">
      <c r="B271" s="66"/>
      <c r="C271" s="66"/>
      <c r="D271" s="52"/>
      <c r="E271" s="69"/>
      <c r="F271" s="69"/>
      <c r="G271" s="69"/>
      <c r="H271" s="69"/>
      <c r="I271" s="69"/>
      <c r="J271" s="69"/>
      <c r="K271" s="69"/>
      <c r="L271" s="69"/>
      <c r="M271" s="69"/>
    </row>
    <row r="272" spans="2:13" x14ac:dyDescent="0.25">
      <c r="B272" s="66"/>
      <c r="C272" s="66"/>
      <c r="D272" s="52"/>
      <c r="E272" s="69"/>
      <c r="F272" s="69"/>
      <c r="G272" s="69"/>
      <c r="H272" s="69"/>
      <c r="I272" s="69"/>
      <c r="J272" s="69"/>
      <c r="K272" s="69"/>
      <c r="L272" s="69"/>
      <c r="M272" s="69"/>
    </row>
    <row r="273" spans="2:13" x14ac:dyDescent="0.25">
      <c r="B273" s="66"/>
      <c r="C273" s="66"/>
      <c r="D273" s="52"/>
      <c r="E273" s="69"/>
      <c r="F273" s="69"/>
      <c r="G273" s="69"/>
      <c r="H273" s="69"/>
      <c r="I273" s="69"/>
      <c r="J273" s="69"/>
      <c r="K273" s="69"/>
      <c r="L273" s="69"/>
      <c r="M273" s="69"/>
    </row>
    <row r="274" spans="2:13" x14ac:dyDescent="0.25">
      <c r="B274" s="66"/>
      <c r="C274" s="66"/>
      <c r="D274" s="52"/>
      <c r="E274" s="69"/>
      <c r="F274" s="69"/>
      <c r="G274" s="69"/>
      <c r="H274" s="69"/>
      <c r="I274" s="69"/>
      <c r="J274" s="69"/>
      <c r="K274" s="69"/>
      <c r="L274" s="69"/>
      <c r="M274" s="69"/>
    </row>
    <row r="275" spans="2:13" x14ac:dyDescent="0.25">
      <c r="B275" s="66"/>
      <c r="C275" s="66"/>
      <c r="D275" s="52"/>
      <c r="E275" s="69"/>
      <c r="F275" s="69"/>
      <c r="G275" s="69"/>
      <c r="H275" s="69"/>
      <c r="I275" s="69"/>
      <c r="J275" s="69"/>
      <c r="K275" s="69"/>
      <c r="L275" s="69"/>
      <c r="M275" s="69"/>
    </row>
    <row r="276" spans="2:13" x14ac:dyDescent="0.25">
      <c r="B276" s="66"/>
      <c r="C276" s="66"/>
      <c r="D276" s="52"/>
      <c r="E276" s="69"/>
      <c r="F276" s="69"/>
      <c r="G276" s="69"/>
      <c r="H276" s="69"/>
      <c r="I276" s="69"/>
      <c r="J276" s="69"/>
      <c r="K276" s="69"/>
      <c r="L276" s="69"/>
      <c r="M276" s="69"/>
    </row>
    <row r="277" spans="2:13" x14ac:dyDescent="0.25">
      <c r="B277" s="66"/>
      <c r="C277" s="66"/>
      <c r="D277" s="52"/>
      <c r="E277" s="69"/>
      <c r="F277" s="69"/>
      <c r="G277" s="69"/>
      <c r="H277" s="69"/>
      <c r="I277" s="69"/>
      <c r="J277" s="69"/>
      <c r="K277" s="69"/>
      <c r="L277" s="69"/>
      <c r="M277" s="69"/>
    </row>
    <row r="278" spans="2:13" x14ac:dyDescent="0.25">
      <c r="B278" s="66"/>
      <c r="C278" s="66"/>
      <c r="D278" s="52"/>
      <c r="E278" s="69"/>
      <c r="F278" s="69"/>
      <c r="G278" s="69"/>
      <c r="H278" s="69"/>
      <c r="I278" s="69"/>
      <c r="J278" s="69"/>
      <c r="K278" s="69"/>
      <c r="L278" s="69"/>
      <c r="M278" s="69"/>
    </row>
    <row r="279" spans="2:13" x14ac:dyDescent="0.25">
      <c r="B279" s="66"/>
      <c r="C279" s="66"/>
      <c r="D279" s="52"/>
      <c r="E279" s="69"/>
      <c r="F279" s="69"/>
      <c r="G279" s="69"/>
      <c r="H279" s="69"/>
      <c r="I279" s="69"/>
      <c r="J279" s="69"/>
      <c r="K279" s="69"/>
      <c r="L279" s="69"/>
      <c r="M279" s="69"/>
    </row>
    <row r="280" spans="2:13" x14ac:dyDescent="0.25">
      <c r="B280" s="66"/>
      <c r="C280" s="66"/>
      <c r="D280" s="52"/>
      <c r="E280" s="69"/>
      <c r="F280" s="69"/>
      <c r="G280" s="69"/>
      <c r="H280" s="69"/>
      <c r="I280" s="69"/>
      <c r="J280" s="69"/>
      <c r="K280" s="69"/>
      <c r="L280" s="69"/>
      <c r="M280" s="69"/>
    </row>
    <row r="281" spans="2:13" x14ac:dyDescent="0.25">
      <c r="B281" s="66"/>
      <c r="C281" s="66"/>
      <c r="D281" s="52"/>
      <c r="E281" s="69"/>
      <c r="F281" s="69"/>
      <c r="G281" s="69"/>
      <c r="H281" s="69"/>
      <c r="I281" s="69"/>
      <c r="J281" s="69"/>
      <c r="K281" s="69"/>
      <c r="L281" s="69"/>
      <c r="M281" s="69"/>
    </row>
    <row r="282" spans="2:13" x14ac:dyDescent="0.25">
      <c r="B282" s="66"/>
      <c r="C282" s="66"/>
      <c r="D282" s="52"/>
      <c r="E282" s="69"/>
      <c r="F282" s="69"/>
      <c r="G282" s="69"/>
      <c r="H282" s="69"/>
      <c r="I282" s="69"/>
      <c r="J282" s="69"/>
      <c r="K282" s="69"/>
      <c r="L282" s="69"/>
      <c r="M282" s="69"/>
    </row>
    <row r="283" spans="2:13" x14ac:dyDescent="0.25">
      <c r="B283" s="66"/>
      <c r="C283" s="66"/>
      <c r="D283" s="52"/>
      <c r="E283" s="69"/>
      <c r="F283" s="69"/>
      <c r="G283" s="69"/>
      <c r="H283" s="69"/>
      <c r="I283" s="69"/>
      <c r="J283" s="69"/>
      <c r="K283" s="69"/>
      <c r="L283" s="69"/>
      <c r="M283" s="69"/>
    </row>
    <row r="284" spans="2:13" x14ac:dyDescent="0.25">
      <c r="B284" s="66"/>
      <c r="C284" s="66"/>
      <c r="D284" s="52"/>
      <c r="E284" s="69"/>
      <c r="F284" s="69"/>
      <c r="G284" s="69"/>
      <c r="H284" s="69"/>
      <c r="I284" s="69"/>
      <c r="J284" s="69"/>
      <c r="K284" s="69"/>
      <c r="L284" s="69"/>
      <c r="M284" s="69"/>
    </row>
    <row r="285" spans="2:13" x14ac:dyDescent="0.25">
      <c r="B285" s="66"/>
      <c r="C285" s="66"/>
      <c r="D285" s="52"/>
      <c r="E285" s="69"/>
      <c r="F285" s="69"/>
      <c r="G285" s="69"/>
      <c r="H285" s="69"/>
      <c r="I285" s="69"/>
      <c r="J285" s="69"/>
      <c r="K285" s="69"/>
      <c r="L285" s="69"/>
      <c r="M285" s="69"/>
    </row>
    <row r="286" spans="2:13" x14ac:dyDescent="0.25">
      <c r="B286" s="66"/>
      <c r="C286" s="66"/>
      <c r="D286" s="52"/>
      <c r="E286" s="69"/>
      <c r="F286" s="69"/>
      <c r="G286" s="69"/>
      <c r="H286" s="69"/>
      <c r="I286" s="69"/>
      <c r="J286" s="69"/>
      <c r="K286" s="69"/>
      <c r="L286" s="69"/>
      <c r="M286" s="69"/>
    </row>
    <row r="287" spans="2:13" x14ac:dyDescent="0.25">
      <c r="B287" s="66"/>
      <c r="C287" s="66"/>
      <c r="D287" s="52"/>
      <c r="E287" s="69"/>
      <c r="F287" s="69"/>
      <c r="G287" s="69"/>
      <c r="H287" s="69"/>
      <c r="I287" s="69"/>
      <c r="J287" s="69"/>
      <c r="K287" s="69"/>
      <c r="L287" s="69"/>
      <c r="M287" s="69"/>
    </row>
    <row r="288" spans="2:13" x14ac:dyDescent="0.25">
      <c r="B288" s="66"/>
      <c r="C288" s="66"/>
      <c r="D288" s="52"/>
      <c r="E288" s="69"/>
      <c r="F288" s="69"/>
      <c r="G288" s="69"/>
      <c r="H288" s="69"/>
      <c r="I288" s="69"/>
      <c r="J288" s="69"/>
      <c r="K288" s="69"/>
      <c r="L288" s="69"/>
      <c r="M288" s="69"/>
    </row>
    <row r="289" spans="2:13" x14ac:dyDescent="0.25">
      <c r="B289" s="66"/>
      <c r="C289" s="66"/>
      <c r="D289" s="52"/>
      <c r="E289" s="69"/>
      <c r="F289" s="69"/>
      <c r="G289" s="69"/>
      <c r="H289" s="69"/>
      <c r="I289" s="69"/>
      <c r="J289" s="69"/>
      <c r="K289" s="69"/>
      <c r="L289" s="69"/>
      <c r="M289" s="69"/>
    </row>
    <row r="290" spans="2:13" x14ac:dyDescent="0.25">
      <c r="B290" s="66"/>
      <c r="C290" s="66"/>
      <c r="D290" s="52"/>
      <c r="E290" s="69"/>
      <c r="F290" s="69"/>
      <c r="G290" s="69"/>
      <c r="H290" s="69"/>
      <c r="I290" s="69"/>
      <c r="J290" s="69"/>
      <c r="K290" s="69"/>
      <c r="L290" s="69"/>
      <c r="M290" s="69"/>
    </row>
    <row r="291" spans="2:13" x14ac:dyDescent="0.25">
      <c r="B291" s="66"/>
      <c r="C291" s="66"/>
      <c r="D291" s="52"/>
      <c r="E291" s="69"/>
      <c r="F291" s="69"/>
      <c r="G291" s="69"/>
      <c r="H291" s="69"/>
      <c r="I291" s="69"/>
      <c r="J291" s="69"/>
      <c r="K291" s="69"/>
      <c r="L291" s="69"/>
      <c r="M291" s="69"/>
    </row>
    <row r="292" spans="2:13" x14ac:dyDescent="0.25">
      <c r="B292" s="66"/>
      <c r="C292" s="66"/>
      <c r="D292" s="52"/>
      <c r="E292" s="69"/>
      <c r="F292" s="69"/>
      <c r="G292" s="69"/>
      <c r="H292" s="69"/>
      <c r="I292" s="69"/>
      <c r="J292" s="69"/>
      <c r="K292" s="69"/>
      <c r="L292" s="69"/>
      <c r="M292" s="69"/>
    </row>
    <row r="293" spans="2:13" x14ac:dyDescent="0.25">
      <c r="B293" s="66"/>
      <c r="C293" s="66"/>
      <c r="D293" s="52"/>
      <c r="E293" s="69"/>
      <c r="F293" s="69"/>
      <c r="G293" s="69"/>
      <c r="H293" s="69"/>
      <c r="I293" s="69"/>
      <c r="J293" s="69"/>
      <c r="K293" s="69"/>
      <c r="L293" s="69"/>
      <c r="M293" s="69"/>
    </row>
    <row r="294" spans="2:13" x14ac:dyDescent="0.25">
      <c r="B294" s="66"/>
      <c r="C294" s="66"/>
      <c r="D294" s="52"/>
      <c r="E294" s="69"/>
      <c r="F294" s="69"/>
      <c r="G294" s="69"/>
      <c r="H294" s="69"/>
      <c r="I294" s="69"/>
      <c r="J294" s="69"/>
      <c r="K294" s="69"/>
      <c r="L294" s="69"/>
      <c r="M294" s="69"/>
    </row>
    <row r="295" spans="2:13" x14ac:dyDescent="0.25">
      <c r="B295" s="66"/>
      <c r="C295" s="66"/>
      <c r="D295" s="52"/>
      <c r="E295" s="69"/>
      <c r="F295" s="69"/>
      <c r="G295" s="69"/>
      <c r="H295" s="69"/>
      <c r="I295" s="69"/>
      <c r="J295" s="69"/>
      <c r="K295" s="69"/>
      <c r="L295" s="69"/>
      <c r="M295" s="69"/>
    </row>
    <row r="296" spans="2:13" x14ac:dyDescent="0.25">
      <c r="B296" s="66"/>
      <c r="C296" s="66"/>
      <c r="D296" s="52"/>
      <c r="E296" s="69"/>
      <c r="F296" s="69"/>
      <c r="G296" s="69"/>
      <c r="H296" s="69"/>
      <c r="I296" s="69"/>
      <c r="J296" s="69"/>
      <c r="K296" s="69"/>
      <c r="L296" s="69"/>
      <c r="M296" s="69"/>
    </row>
    <row r="297" spans="2:13" x14ac:dyDescent="0.25">
      <c r="B297" s="66"/>
      <c r="C297" s="66"/>
      <c r="D297" s="52"/>
      <c r="E297" s="69"/>
      <c r="F297" s="69"/>
      <c r="G297" s="69"/>
      <c r="H297" s="69"/>
      <c r="I297" s="69"/>
      <c r="J297" s="69"/>
      <c r="K297" s="69"/>
      <c r="L297" s="69"/>
      <c r="M297" s="69"/>
    </row>
    <row r="298" spans="2:13" x14ac:dyDescent="0.25">
      <c r="B298" s="66"/>
      <c r="C298" s="66"/>
      <c r="D298" s="52"/>
      <c r="E298" s="69"/>
      <c r="F298" s="69"/>
      <c r="G298" s="69"/>
      <c r="H298" s="69"/>
      <c r="I298" s="69"/>
      <c r="J298" s="69"/>
      <c r="K298" s="69"/>
      <c r="L298" s="69"/>
      <c r="M298" s="69"/>
    </row>
    <row r="299" spans="2:13" x14ac:dyDescent="0.25">
      <c r="B299" s="66"/>
      <c r="C299" s="66"/>
      <c r="D299" s="52"/>
      <c r="E299" s="69"/>
      <c r="F299" s="69"/>
      <c r="G299" s="69"/>
      <c r="H299" s="69"/>
      <c r="I299" s="69"/>
      <c r="J299" s="69"/>
      <c r="K299" s="69"/>
      <c r="L299" s="69"/>
      <c r="M299" s="69"/>
    </row>
    <row r="300" spans="2:13" x14ac:dyDescent="0.25">
      <c r="B300" s="66"/>
      <c r="C300" s="66"/>
      <c r="D300" s="52"/>
      <c r="E300" s="69"/>
      <c r="F300" s="69"/>
      <c r="G300" s="69"/>
      <c r="H300" s="69"/>
      <c r="I300" s="69"/>
      <c r="J300" s="69"/>
      <c r="K300" s="69"/>
      <c r="L300" s="69"/>
      <c r="M300" s="69"/>
    </row>
    <row r="301" spans="2:13" x14ac:dyDescent="0.25">
      <c r="B301" s="66"/>
      <c r="C301" s="66"/>
      <c r="D301" s="52"/>
      <c r="E301" s="69"/>
      <c r="F301" s="69"/>
      <c r="G301" s="69"/>
      <c r="H301" s="69"/>
      <c r="I301" s="69"/>
      <c r="J301" s="69"/>
      <c r="K301" s="69"/>
      <c r="L301" s="69"/>
      <c r="M301" s="69"/>
    </row>
    <row r="302" spans="2:13" x14ac:dyDescent="0.25">
      <c r="B302" s="66"/>
      <c r="C302" s="66"/>
      <c r="D302" s="52"/>
      <c r="E302" s="69"/>
      <c r="F302" s="69"/>
      <c r="G302" s="69"/>
      <c r="H302" s="69"/>
      <c r="I302" s="69"/>
      <c r="J302" s="69"/>
      <c r="K302" s="69"/>
      <c r="L302" s="69"/>
      <c r="M302" s="69"/>
    </row>
    <row r="303" spans="2:13" x14ac:dyDescent="0.25">
      <c r="B303" s="66"/>
      <c r="C303" s="66"/>
      <c r="D303" s="52"/>
      <c r="E303" s="69"/>
      <c r="F303" s="69"/>
      <c r="G303" s="69"/>
      <c r="H303" s="69"/>
      <c r="I303" s="69"/>
      <c r="J303" s="69"/>
      <c r="K303" s="69"/>
      <c r="L303" s="69"/>
      <c r="M303" s="69"/>
    </row>
    <row r="304" spans="2:13" x14ac:dyDescent="0.25">
      <c r="B304" s="66"/>
      <c r="C304" s="66"/>
      <c r="D304" s="52"/>
      <c r="E304" s="69"/>
      <c r="F304" s="69"/>
      <c r="G304" s="69"/>
      <c r="H304" s="69"/>
      <c r="I304" s="69"/>
      <c r="J304" s="69"/>
      <c r="K304" s="69"/>
      <c r="L304" s="69"/>
      <c r="M304" s="69"/>
    </row>
    <row r="305" spans="2:13" x14ac:dyDescent="0.25">
      <c r="B305" s="66"/>
      <c r="C305" s="66"/>
      <c r="D305" s="52"/>
      <c r="E305" s="69"/>
      <c r="F305" s="69"/>
      <c r="G305" s="69"/>
      <c r="H305" s="69"/>
      <c r="I305" s="69"/>
      <c r="J305" s="69"/>
      <c r="K305" s="69"/>
      <c r="L305" s="69"/>
      <c r="M305" s="69"/>
    </row>
    <row r="306" spans="2:13" x14ac:dyDescent="0.25">
      <c r="B306" s="66"/>
      <c r="C306" s="66"/>
      <c r="D306" s="52"/>
      <c r="E306" s="69"/>
      <c r="F306" s="69"/>
      <c r="G306" s="69"/>
      <c r="H306" s="69"/>
      <c r="I306" s="69"/>
      <c r="J306" s="69"/>
      <c r="K306" s="69"/>
      <c r="L306" s="69"/>
      <c r="M306" s="69"/>
    </row>
    <row r="307" spans="2:13" x14ac:dyDescent="0.25">
      <c r="B307" s="66"/>
      <c r="C307" s="66"/>
      <c r="D307" s="52"/>
      <c r="E307" s="69"/>
      <c r="F307" s="69"/>
      <c r="G307" s="69"/>
      <c r="H307" s="69"/>
      <c r="I307" s="69"/>
      <c r="J307" s="69"/>
      <c r="K307" s="69"/>
      <c r="L307" s="69"/>
      <c r="M307" s="69"/>
    </row>
    <row r="308" spans="2:13" x14ac:dyDescent="0.25">
      <c r="B308" s="66"/>
      <c r="C308" s="66"/>
      <c r="D308" s="52"/>
      <c r="E308" s="69"/>
      <c r="F308" s="69"/>
      <c r="G308" s="69"/>
      <c r="H308" s="69"/>
      <c r="I308" s="69"/>
      <c r="J308" s="69"/>
      <c r="K308" s="69"/>
      <c r="L308" s="69"/>
      <c r="M308" s="69"/>
    </row>
    <row r="309" spans="2:13" x14ac:dyDescent="0.25">
      <c r="B309" s="66"/>
      <c r="C309" s="66"/>
      <c r="D309" s="52"/>
      <c r="E309" s="69"/>
      <c r="F309" s="69"/>
      <c r="G309" s="69"/>
      <c r="H309" s="69"/>
      <c r="I309" s="69"/>
      <c r="J309" s="69"/>
      <c r="K309" s="69"/>
      <c r="L309" s="69"/>
      <c r="M309" s="69"/>
    </row>
    <row r="310" spans="2:13" x14ac:dyDescent="0.25">
      <c r="B310" s="66"/>
      <c r="C310" s="66"/>
      <c r="D310" s="52"/>
      <c r="E310" s="69"/>
      <c r="F310" s="69"/>
      <c r="G310" s="69"/>
      <c r="H310" s="69"/>
      <c r="I310" s="69"/>
      <c r="J310" s="69"/>
      <c r="K310" s="69"/>
      <c r="L310" s="69"/>
      <c r="M310" s="69"/>
    </row>
    <row r="311" spans="2:13" x14ac:dyDescent="0.25">
      <c r="B311" s="66"/>
      <c r="C311" s="66"/>
      <c r="D311" s="52"/>
      <c r="E311" s="69"/>
      <c r="F311" s="69"/>
      <c r="G311" s="69"/>
      <c r="H311" s="69"/>
      <c r="I311" s="69"/>
      <c r="J311" s="69"/>
      <c r="K311" s="69"/>
      <c r="L311" s="69"/>
      <c r="M311" s="69"/>
    </row>
    <row r="312" spans="2:13" x14ac:dyDescent="0.25">
      <c r="B312" s="66"/>
      <c r="C312" s="66"/>
      <c r="D312" s="52"/>
      <c r="E312" s="69"/>
      <c r="F312" s="69"/>
      <c r="G312" s="69"/>
      <c r="H312" s="69"/>
      <c r="I312" s="69"/>
      <c r="J312" s="69"/>
      <c r="K312" s="69"/>
      <c r="L312" s="69"/>
      <c r="M312" s="69"/>
    </row>
    <row r="313" spans="2:13" x14ac:dyDescent="0.25">
      <c r="B313" s="66"/>
      <c r="C313" s="66"/>
      <c r="D313" s="52"/>
      <c r="E313" s="69"/>
      <c r="F313" s="69"/>
      <c r="G313" s="69"/>
      <c r="H313" s="69"/>
      <c r="I313" s="69"/>
      <c r="J313" s="69"/>
      <c r="K313" s="69"/>
      <c r="L313" s="69"/>
      <c r="M313" s="69"/>
    </row>
    <row r="314" spans="2:13" x14ac:dyDescent="0.25">
      <c r="B314" s="66"/>
      <c r="C314" s="66"/>
      <c r="D314" s="52"/>
      <c r="E314" s="69"/>
      <c r="F314" s="69"/>
      <c r="G314" s="69"/>
      <c r="H314" s="69"/>
      <c r="I314" s="69"/>
      <c r="J314" s="69"/>
      <c r="K314" s="69"/>
      <c r="L314" s="69"/>
      <c r="M314" s="69"/>
    </row>
    <row r="315" spans="2:13" x14ac:dyDescent="0.25">
      <c r="B315" s="66"/>
      <c r="C315" s="66"/>
      <c r="D315" s="52"/>
      <c r="E315" s="69"/>
      <c r="F315" s="69"/>
      <c r="G315" s="69"/>
      <c r="H315" s="69"/>
      <c r="I315" s="69"/>
      <c r="J315" s="69"/>
      <c r="K315" s="69"/>
      <c r="L315" s="69"/>
      <c r="M315" s="69"/>
    </row>
    <row r="316" spans="2:13" x14ac:dyDescent="0.25">
      <c r="B316" s="66"/>
      <c r="C316" s="66"/>
      <c r="D316" s="52"/>
      <c r="E316" s="69"/>
      <c r="F316" s="69"/>
      <c r="G316" s="69"/>
      <c r="H316" s="69"/>
      <c r="I316" s="69"/>
      <c r="J316" s="69"/>
      <c r="K316" s="69"/>
      <c r="L316" s="69"/>
      <c r="M316" s="69"/>
    </row>
    <row r="317" spans="2:13" x14ac:dyDescent="0.25">
      <c r="B317" s="66"/>
      <c r="C317" s="66"/>
      <c r="D317" s="52"/>
      <c r="E317" s="69"/>
      <c r="F317" s="69"/>
      <c r="G317" s="69"/>
      <c r="H317" s="69"/>
      <c r="I317" s="69"/>
      <c r="J317" s="69"/>
      <c r="K317" s="69"/>
      <c r="L317" s="69"/>
      <c r="M317" s="69"/>
    </row>
    <row r="318" spans="2:13" x14ac:dyDescent="0.25">
      <c r="B318" s="66"/>
      <c r="C318" s="66"/>
      <c r="D318" s="52"/>
      <c r="E318" s="69"/>
      <c r="F318" s="69"/>
      <c r="G318" s="69"/>
      <c r="H318" s="69"/>
      <c r="I318" s="69"/>
      <c r="J318" s="69"/>
      <c r="K318" s="69"/>
      <c r="L318" s="69"/>
      <c r="M318" s="69"/>
    </row>
    <row r="319" spans="2:13" x14ac:dyDescent="0.25">
      <c r="B319" s="66"/>
      <c r="C319" s="66"/>
      <c r="D319" s="52"/>
      <c r="E319" s="69"/>
      <c r="F319" s="69"/>
      <c r="G319" s="69"/>
      <c r="H319" s="69"/>
      <c r="I319" s="69"/>
      <c r="J319" s="69"/>
      <c r="K319" s="69"/>
      <c r="L319" s="69"/>
      <c r="M319" s="69"/>
    </row>
    <row r="320" spans="2:13" x14ac:dyDescent="0.25">
      <c r="B320" s="66"/>
      <c r="C320" s="66"/>
      <c r="D320" s="52"/>
      <c r="E320" s="69"/>
      <c r="F320" s="69"/>
      <c r="G320" s="69"/>
      <c r="H320" s="69"/>
      <c r="I320" s="69"/>
      <c r="J320" s="69"/>
      <c r="K320" s="69"/>
      <c r="L320" s="69"/>
      <c r="M320" s="69"/>
    </row>
    <row r="321" spans="2:13" x14ac:dyDescent="0.25">
      <c r="B321" s="66"/>
      <c r="C321" s="66"/>
      <c r="D321" s="52"/>
      <c r="E321" s="69"/>
      <c r="F321" s="69"/>
      <c r="G321" s="69"/>
      <c r="H321" s="69"/>
      <c r="I321" s="69"/>
      <c r="J321" s="69"/>
      <c r="K321" s="69"/>
      <c r="L321" s="69"/>
      <c r="M321" s="69"/>
    </row>
    <row r="322" spans="2:13" x14ac:dyDescent="0.25">
      <c r="B322" s="66"/>
      <c r="C322" s="66"/>
      <c r="D322" s="52"/>
      <c r="E322" s="69"/>
      <c r="F322" s="69"/>
      <c r="G322" s="69"/>
      <c r="H322" s="69"/>
      <c r="I322" s="69"/>
      <c r="J322" s="69"/>
      <c r="K322" s="69"/>
      <c r="L322" s="69"/>
      <c r="M322" s="69"/>
    </row>
    <row r="323" spans="2:13" x14ac:dyDescent="0.25">
      <c r="B323" s="66"/>
      <c r="C323" s="66"/>
      <c r="D323" s="52"/>
      <c r="E323" s="69"/>
      <c r="F323" s="69"/>
      <c r="G323" s="69"/>
      <c r="H323" s="69"/>
      <c r="I323" s="69"/>
      <c r="J323" s="69"/>
      <c r="K323" s="69"/>
      <c r="L323" s="69"/>
      <c r="M323" s="69"/>
    </row>
    <row r="324" spans="2:13" x14ac:dyDescent="0.25">
      <c r="B324" s="66"/>
      <c r="C324" s="66"/>
      <c r="D324" s="52"/>
      <c r="E324" s="69"/>
      <c r="F324" s="69"/>
      <c r="G324" s="69"/>
      <c r="H324" s="69"/>
      <c r="I324" s="69"/>
      <c r="J324" s="69"/>
      <c r="K324" s="69"/>
      <c r="L324" s="69"/>
      <c r="M324" s="69"/>
    </row>
    <row r="325" spans="2:13" x14ac:dyDescent="0.25">
      <c r="B325" s="66"/>
      <c r="C325" s="66"/>
      <c r="D325" s="52"/>
      <c r="E325" s="69"/>
      <c r="F325" s="69"/>
      <c r="G325" s="69"/>
      <c r="H325" s="69"/>
      <c r="I325" s="69"/>
      <c r="J325" s="69"/>
      <c r="K325" s="69"/>
      <c r="L325" s="69"/>
      <c r="M325" s="69"/>
    </row>
    <row r="326" spans="2:13" x14ac:dyDescent="0.25">
      <c r="B326" s="66"/>
      <c r="C326" s="66"/>
      <c r="D326" s="52"/>
      <c r="E326" s="69"/>
      <c r="F326" s="69"/>
      <c r="G326" s="69"/>
      <c r="H326" s="69"/>
      <c r="I326" s="69"/>
      <c r="J326" s="69"/>
      <c r="K326" s="69"/>
      <c r="L326" s="69"/>
      <c r="M326" s="69"/>
    </row>
    <row r="327" spans="2:13" x14ac:dyDescent="0.25">
      <c r="B327" s="66"/>
      <c r="C327" s="66"/>
      <c r="D327" s="52"/>
      <c r="E327" s="69"/>
      <c r="F327" s="69"/>
      <c r="G327" s="69"/>
      <c r="H327" s="69"/>
      <c r="I327" s="69"/>
      <c r="J327" s="69"/>
      <c r="K327" s="69"/>
      <c r="L327" s="69"/>
      <c r="M327" s="69"/>
    </row>
    <row r="328" spans="2:13" x14ac:dyDescent="0.25">
      <c r="B328" s="66"/>
      <c r="C328" s="66"/>
      <c r="D328" s="52"/>
      <c r="E328" s="69"/>
      <c r="F328" s="69"/>
      <c r="G328" s="69"/>
      <c r="H328" s="69"/>
      <c r="I328" s="69"/>
      <c r="J328" s="69"/>
      <c r="K328" s="69"/>
      <c r="L328" s="69"/>
      <c r="M328" s="69"/>
    </row>
    <row r="329" spans="2:13" x14ac:dyDescent="0.25">
      <c r="B329" s="66"/>
      <c r="C329" s="66"/>
      <c r="D329" s="52"/>
      <c r="E329" s="69"/>
      <c r="F329" s="69"/>
      <c r="G329" s="69"/>
      <c r="H329" s="69"/>
      <c r="I329" s="69"/>
      <c r="J329" s="69"/>
      <c r="K329" s="69"/>
      <c r="L329" s="69"/>
      <c r="M329" s="69"/>
    </row>
    <row r="330" spans="2:13" x14ac:dyDescent="0.25">
      <c r="B330" s="66"/>
      <c r="C330" s="66"/>
      <c r="D330" s="52"/>
      <c r="E330" s="69"/>
      <c r="F330" s="69"/>
      <c r="G330" s="69"/>
      <c r="H330" s="69"/>
      <c r="I330" s="69"/>
      <c r="J330" s="69"/>
      <c r="K330" s="69"/>
      <c r="L330" s="69"/>
      <c r="M330" s="69"/>
    </row>
    <row r="331" spans="2:13" x14ac:dyDescent="0.25">
      <c r="B331" s="66"/>
      <c r="C331" s="66"/>
      <c r="D331" s="52"/>
      <c r="E331" s="69"/>
      <c r="F331" s="69"/>
      <c r="G331" s="69"/>
      <c r="H331" s="69"/>
      <c r="I331" s="69"/>
      <c r="J331" s="69"/>
      <c r="K331" s="69"/>
      <c r="L331" s="69"/>
      <c r="M331" s="69"/>
    </row>
    <row r="332" spans="2:13" x14ac:dyDescent="0.25">
      <c r="B332" s="66"/>
      <c r="C332" s="66"/>
      <c r="D332" s="52"/>
      <c r="E332" s="69"/>
      <c r="F332" s="69"/>
      <c r="G332" s="69"/>
      <c r="H332" s="69"/>
      <c r="I332" s="69"/>
      <c r="J332" s="69"/>
      <c r="K332" s="69"/>
      <c r="L332" s="69"/>
      <c r="M332" s="69"/>
    </row>
    <row r="333" spans="2:13" x14ac:dyDescent="0.25">
      <c r="B333" s="66"/>
      <c r="C333" s="66"/>
      <c r="D333" s="52"/>
      <c r="E333" s="69"/>
      <c r="F333" s="69"/>
      <c r="G333" s="69"/>
      <c r="H333" s="69"/>
      <c r="I333" s="69"/>
      <c r="J333" s="69"/>
      <c r="K333" s="69"/>
      <c r="L333" s="69"/>
      <c r="M333" s="69"/>
    </row>
    <row r="334" spans="2:13" x14ac:dyDescent="0.25">
      <c r="B334" s="66"/>
      <c r="C334" s="66"/>
      <c r="D334" s="52"/>
      <c r="E334" s="69"/>
      <c r="F334" s="69"/>
      <c r="G334" s="69"/>
      <c r="H334" s="69"/>
      <c r="I334" s="69"/>
      <c r="J334" s="69"/>
      <c r="K334" s="69"/>
      <c r="L334" s="69"/>
      <c r="M334" s="69"/>
    </row>
    <row r="335" spans="2:13" x14ac:dyDescent="0.25">
      <c r="B335" s="66"/>
      <c r="C335" s="66"/>
      <c r="D335" s="52"/>
      <c r="E335" s="69"/>
      <c r="F335" s="69"/>
      <c r="G335" s="69"/>
      <c r="H335" s="69"/>
      <c r="I335" s="69"/>
      <c r="J335" s="69"/>
      <c r="K335" s="69"/>
      <c r="L335" s="69"/>
      <c r="M335" s="69"/>
    </row>
    <row r="336" spans="2:13" x14ac:dyDescent="0.25">
      <c r="B336" s="66"/>
      <c r="C336" s="66"/>
      <c r="D336" s="52"/>
      <c r="E336" s="69"/>
      <c r="F336" s="69"/>
      <c r="G336" s="69"/>
      <c r="H336" s="69"/>
      <c r="I336" s="69"/>
      <c r="J336" s="69"/>
      <c r="K336" s="69"/>
      <c r="L336" s="69"/>
      <c r="M336" s="69"/>
    </row>
    <row r="337" spans="2:13" x14ac:dyDescent="0.25">
      <c r="B337" s="66"/>
      <c r="C337" s="66"/>
      <c r="D337" s="52"/>
      <c r="E337" s="69"/>
      <c r="F337" s="69"/>
      <c r="G337" s="69"/>
      <c r="H337" s="69"/>
      <c r="I337" s="69"/>
      <c r="J337" s="69"/>
      <c r="K337" s="69"/>
      <c r="L337" s="69"/>
      <c r="M337" s="69"/>
    </row>
    <row r="338" spans="2:13" x14ac:dyDescent="0.25">
      <c r="B338" s="66"/>
      <c r="C338" s="66"/>
      <c r="D338" s="52"/>
      <c r="E338" s="69"/>
      <c r="F338" s="69"/>
      <c r="G338" s="69"/>
      <c r="H338" s="69"/>
      <c r="I338" s="69"/>
      <c r="J338" s="69"/>
      <c r="K338" s="69"/>
      <c r="L338" s="69"/>
      <c r="M338" s="69"/>
    </row>
    <row r="339" spans="2:13" x14ac:dyDescent="0.25">
      <c r="B339" s="66"/>
      <c r="C339" s="66"/>
      <c r="D339" s="52"/>
      <c r="E339" s="69"/>
      <c r="F339" s="69"/>
      <c r="G339" s="69"/>
      <c r="H339" s="69"/>
      <c r="I339" s="69"/>
      <c r="J339" s="69"/>
      <c r="K339" s="69"/>
      <c r="L339" s="69"/>
      <c r="M339" s="69"/>
    </row>
    <row r="340" spans="2:13" x14ac:dyDescent="0.25">
      <c r="B340" s="66"/>
      <c r="C340" s="66"/>
      <c r="D340" s="52"/>
      <c r="E340" s="69"/>
      <c r="F340" s="69"/>
      <c r="G340" s="69"/>
      <c r="H340" s="69"/>
      <c r="I340" s="69"/>
      <c r="J340" s="69"/>
      <c r="K340" s="69"/>
      <c r="L340" s="69"/>
      <c r="M340" s="69"/>
    </row>
    <row r="341" spans="2:13" x14ac:dyDescent="0.25">
      <c r="B341" s="66"/>
      <c r="C341" s="66"/>
      <c r="D341" s="52"/>
      <c r="E341" s="69"/>
      <c r="F341" s="69"/>
      <c r="G341" s="69"/>
      <c r="H341" s="69"/>
      <c r="I341" s="69"/>
      <c r="J341" s="69"/>
      <c r="K341" s="69"/>
      <c r="L341" s="69"/>
      <c r="M341" s="69"/>
    </row>
    <row r="342" spans="2:13" x14ac:dyDescent="0.25">
      <c r="B342" s="66"/>
      <c r="C342" s="66"/>
      <c r="D342" s="52"/>
      <c r="E342" s="69"/>
      <c r="F342" s="69"/>
      <c r="G342" s="69"/>
      <c r="H342" s="69"/>
      <c r="I342" s="69"/>
      <c r="J342" s="69"/>
      <c r="K342" s="69"/>
      <c r="L342" s="69"/>
      <c r="M342" s="69"/>
    </row>
    <row r="343" spans="2:13" x14ac:dyDescent="0.25">
      <c r="B343" s="66"/>
      <c r="C343" s="66"/>
      <c r="D343" s="52"/>
      <c r="E343" s="69"/>
      <c r="F343" s="69"/>
      <c r="G343" s="69"/>
      <c r="H343" s="69"/>
      <c r="I343" s="69"/>
      <c r="J343" s="69"/>
      <c r="K343" s="69"/>
      <c r="L343" s="69"/>
      <c r="M343" s="69"/>
    </row>
    <row r="344" spans="2:13" x14ac:dyDescent="0.25">
      <c r="B344" s="66"/>
      <c r="C344" s="66"/>
      <c r="D344" s="52"/>
      <c r="E344" s="69"/>
      <c r="F344" s="69"/>
      <c r="G344" s="69"/>
      <c r="H344" s="69"/>
      <c r="I344" s="69"/>
      <c r="J344" s="69"/>
      <c r="K344" s="69"/>
      <c r="L344" s="69"/>
      <c r="M344" s="69"/>
    </row>
    <row r="345" spans="2:13" x14ac:dyDescent="0.25">
      <c r="B345" s="66"/>
      <c r="C345" s="66"/>
      <c r="D345" s="52"/>
      <c r="E345" s="69"/>
      <c r="F345" s="69"/>
      <c r="G345" s="69"/>
      <c r="H345" s="69"/>
      <c r="I345" s="69"/>
      <c r="J345" s="69"/>
      <c r="K345" s="69"/>
      <c r="L345" s="69"/>
      <c r="M345" s="69"/>
    </row>
    <row r="346" spans="2:13" x14ac:dyDescent="0.25">
      <c r="B346" s="66"/>
      <c r="C346" s="66"/>
      <c r="D346" s="52"/>
      <c r="E346" s="69"/>
      <c r="F346" s="69"/>
      <c r="G346" s="69"/>
      <c r="H346" s="69"/>
      <c r="I346" s="69"/>
      <c r="J346" s="69"/>
      <c r="K346" s="69"/>
      <c r="L346" s="69"/>
      <c r="M346" s="69"/>
    </row>
    <row r="347" spans="2:13" x14ac:dyDescent="0.25">
      <c r="B347" s="66"/>
      <c r="C347" s="66"/>
      <c r="D347" s="52"/>
      <c r="E347" s="69"/>
      <c r="F347" s="69"/>
      <c r="G347" s="69"/>
      <c r="H347" s="69"/>
      <c r="I347" s="69"/>
      <c r="J347" s="69"/>
      <c r="K347" s="69"/>
      <c r="L347" s="69"/>
      <c r="M347" s="69"/>
    </row>
    <row r="348" spans="2:13" x14ac:dyDescent="0.25">
      <c r="B348" s="66"/>
      <c r="C348" s="66"/>
      <c r="D348" s="52"/>
      <c r="E348" s="69"/>
      <c r="F348" s="69"/>
      <c r="G348" s="69"/>
      <c r="H348" s="69"/>
      <c r="I348" s="69"/>
      <c r="J348" s="69"/>
      <c r="K348" s="69"/>
      <c r="L348" s="69"/>
      <c r="M348" s="69"/>
    </row>
    <row r="349" spans="2:13" x14ac:dyDescent="0.25">
      <c r="B349" s="66"/>
      <c r="C349" s="66"/>
      <c r="D349" s="52"/>
      <c r="E349" s="69"/>
      <c r="F349" s="69"/>
      <c r="G349" s="69"/>
      <c r="H349" s="69"/>
      <c r="I349" s="69"/>
      <c r="J349" s="69"/>
      <c r="K349" s="69"/>
      <c r="L349" s="69"/>
      <c r="M349" s="69"/>
    </row>
    <row r="350" spans="2:13" x14ac:dyDescent="0.25">
      <c r="B350" s="66"/>
      <c r="C350" s="66"/>
      <c r="D350" s="52"/>
      <c r="E350" s="69"/>
      <c r="F350" s="69"/>
      <c r="G350" s="69"/>
      <c r="H350" s="69"/>
      <c r="I350" s="69"/>
      <c r="J350" s="69"/>
      <c r="K350" s="69"/>
      <c r="L350" s="69"/>
      <c r="M350" s="69"/>
    </row>
    <row r="351" spans="2:13" x14ac:dyDescent="0.25">
      <c r="B351" s="66"/>
      <c r="C351" s="66"/>
      <c r="D351" s="52"/>
      <c r="E351" s="69"/>
      <c r="F351" s="69"/>
      <c r="G351" s="69"/>
      <c r="H351" s="69"/>
      <c r="I351" s="69"/>
      <c r="J351" s="69"/>
      <c r="K351" s="69"/>
      <c r="L351" s="69"/>
      <c r="M351" s="69"/>
    </row>
    <row r="352" spans="2:13" x14ac:dyDescent="0.25">
      <c r="B352" s="66"/>
      <c r="C352" s="66"/>
      <c r="D352" s="52"/>
      <c r="E352" s="69"/>
      <c r="F352" s="69"/>
      <c r="G352" s="69"/>
      <c r="H352" s="69"/>
      <c r="I352" s="69"/>
      <c r="J352" s="69"/>
      <c r="K352" s="69"/>
      <c r="L352" s="69"/>
      <c r="M352" s="69"/>
    </row>
    <row r="353" spans="2:13" x14ac:dyDescent="0.25">
      <c r="B353" s="66"/>
      <c r="C353" s="66"/>
      <c r="D353" s="52"/>
      <c r="E353" s="69"/>
      <c r="F353" s="69"/>
      <c r="G353" s="69"/>
      <c r="H353" s="69"/>
      <c r="I353" s="69"/>
      <c r="J353" s="69"/>
      <c r="K353" s="69"/>
      <c r="L353" s="69"/>
      <c r="M353" s="69"/>
    </row>
    <row r="354" spans="2:13" x14ac:dyDescent="0.25">
      <c r="B354" s="66"/>
      <c r="C354" s="66"/>
      <c r="D354" s="52"/>
      <c r="E354" s="69"/>
      <c r="F354" s="69"/>
      <c r="G354" s="69"/>
      <c r="H354" s="69"/>
      <c r="I354" s="69"/>
      <c r="J354" s="69"/>
      <c r="K354" s="69"/>
      <c r="L354" s="69"/>
      <c r="M354" s="69"/>
    </row>
    <row r="355" spans="2:13" x14ac:dyDescent="0.25">
      <c r="B355" s="66"/>
      <c r="C355" s="66"/>
      <c r="D355" s="52"/>
      <c r="E355" s="69"/>
      <c r="F355" s="69"/>
      <c r="G355" s="69"/>
      <c r="H355" s="69"/>
      <c r="I355" s="69"/>
      <c r="J355" s="69"/>
      <c r="K355" s="69"/>
      <c r="L355" s="69"/>
      <c r="M355" s="69"/>
    </row>
    <row r="356" spans="2:13" x14ac:dyDescent="0.25">
      <c r="B356" s="66"/>
      <c r="C356" s="66"/>
      <c r="D356" s="52"/>
      <c r="E356" s="69"/>
      <c r="F356" s="69"/>
      <c r="G356" s="69"/>
      <c r="H356" s="69"/>
      <c r="I356" s="69"/>
      <c r="J356" s="69"/>
      <c r="K356" s="69"/>
      <c r="L356" s="69"/>
      <c r="M356" s="69"/>
    </row>
    <row r="357" spans="2:13" x14ac:dyDescent="0.25">
      <c r="B357" s="66"/>
      <c r="C357" s="66"/>
      <c r="D357" s="52"/>
      <c r="E357" s="69"/>
      <c r="F357" s="69"/>
      <c r="G357" s="69"/>
      <c r="H357" s="69"/>
      <c r="I357" s="69"/>
      <c r="J357" s="69"/>
      <c r="K357" s="69"/>
      <c r="L357" s="69"/>
      <c r="M357" s="69"/>
    </row>
    <row r="358" spans="2:13" x14ac:dyDescent="0.25">
      <c r="B358" s="66"/>
      <c r="C358" s="66"/>
      <c r="D358" s="52"/>
      <c r="E358" s="69"/>
      <c r="F358" s="69"/>
      <c r="G358" s="69"/>
      <c r="H358" s="69"/>
      <c r="I358" s="69"/>
      <c r="J358" s="69"/>
      <c r="K358" s="69"/>
      <c r="L358" s="69"/>
      <c r="M358" s="69"/>
    </row>
    <row r="359" spans="2:13" x14ac:dyDescent="0.25">
      <c r="B359" s="66"/>
      <c r="C359" s="66"/>
      <c r="D359" s="52"/>
      <c r="E359" s="69"/>
      <c r="F359" s="69"/>
      <c r="G359" s="69"/>
      <c r="H359" s="69"/>
      <c r="I359" s="69"/>
      <c r="J359" s="69"/>
      <c r="K359" s="69"/>
      <c r="L359" s="69"/>
      <c r="M359" s="69"/>
    </row>
    <row r="360" spans="2:13" x14ac:dyDescent="0.25">
      <c r="B360" s="66"/>
      <c r="C360" s="66"/>
      <c r="D360" s="52"/>
      <c r="E360" s="69"/>
      <c r="F360" s="69"/>
      <c r="G360" s="69"/>
      <c r="H360" s="69"/>
      <c r="I360" s="69"/>
      <c r="J360" s="69"/>
      <c r="K360" s="69"/>
      <c r="L360" s="69"/>
      <c r="M360" s="69"/>
    </row>
    <row r="361" spans="2:13" x14ac:dyDescent="0.25">
      <c r="B361" s="66"/>
      <c r="C361" s="66"/>
      <c r="D361" s="52"/>
      <c r="E361" s="69"/>
      <c r="F361" s="69"/>
      <c r="G361" s="69"/>
      <c r="H361" s="69"/>
      <c r="I361" s="69"/>
      <c r="J361" s="69"/>
      <c r="K361" s="69"/>
      <c r="L361" s="69"/>
      <c r="M361" s="69"/>
    </row>
    <row r="362" spans="2:13" x14ac:dyDescent="0.25">
      <c r="B362" s="66"/>
      <c r="C362" s="66"/>
      <c r="D362" s="52"/>
      <c r="E362" s="69"/>
      <c r="F362" s="69"/>
      <c r="G362" s="69"/>
      <c r="H362" s="69"/>
      <c r="I362" s="69"/>
      <c r="J362" s="69"/>
      <c r="K362" s="69"/>
      <c r="L362" s="69"/>
      <c r="M362" s="69"/>
    </row>
    <row r="363" spans="2:13" x14ac:dyDescent="0.25">
      <c r="B363" s="66"/>
      <c r="C363" s="66"/>
      <c r="D363" s="52"/>
      <c r="E363" s="69"/>
      <c r="F363" s="69"/>
      <c r="G363" s="69"/>
      <c r="H363" s="69"/>
      <c r="I363" s="69"/>
      <c r="J363" s="69"/>
      <c r="K363" s="69"/>
      <c r="L363" s="69"/>
      <c r="M363" s="69"/>
    </row>
    <row r="364" spans="2:13" x14ac:dyDescent="0.25">
      <c r="B364" s="66"/>
      <c r="C364" s="66"/>
      <c r="D364" s="52"/>
      <c r="E364" s="69"/>
      <c r="F364" s="69"/>
      <c r="G364" s="69"/>
      <c r="H364" s="69"/>
      <c r="I364" s="69"/>
      <c r="J364" s="69"/>
      <c r="K364" s="69"/>
      <c r="L364" s="69"/>
      <c r="M364" s="69"/>
    </row>
    <row r="365" spans="2:13" x14ac:dyDescent="0.25">
      <c r="B365" s="66"/>
      <c r="C365" s="66"/>
      <c r="D365" s="52"/>
      <c r="E365" s="69"/>
      <c r="F365" s="69"/>
      <c r="G365" s="69"/>
      <c r="H365" s="69"/>
      <c r="I365" s="69"/>
      <c r="J365" s="69"/>
      <c r="K365" s="69"/>
      <c r="L365" s="69"/>
      <c r="M365" s="69"/>
    </row>
    <row r="366" spans="2:13" x14ac:dyDescent="0.25">
      <c r="B366" s="66"/>
      <c r="C366" s="66"/>
      <c r="D366" s="52"/>
      <c r="E366" s="69"/>
      <c r="F366" s="69"/>
      <c r="G366" s="69"/>
      <c r="H366" s="69"/>
      <c r="I366" s="69"/>
      <c r="J366" s="69"/>
      <c r="K366" s="69"/>
      <c r="L366" s="69"/>
      <c r="M366" s="69"/>
    </row>
    <row r="367" spans="2:13" x14ac:dyDescent="0.25">
      <c r="B367" s="66"/>
      <c r="C367" s="66"/>
      <c r="D367" s="52"/>
      <c r="E367" s="69"/>
      <c r="F367" s="69"/>
      <c r="G367" s="69"/>
      <c r="H367" s="69"/>
      <c r="I367" s="69"/>
      <c r="J367" s="69"/>
      <c r="K367" s="69"/>
      <c r="L367" s="69"/>
      <c r="M367" s="69"/>
    </row>
    <row r="368" spans="2:13" x14ac:dyDescent="0.25">
      <c r="B368" s="66"/>
      <c r="C368" s="66"/>
      <c r="D368" s="52"/>
      <c r="E368" s="69"/>
      <c r="F368" s="69"/>
      <c r="G368" s="69"/>
      <c r="H368" s="69"/>
      <c r="I368" s="69"/>
      <c r="J368" s="69"/>
      <c r="K368" s="69"/>
      <c r="L368" s="69"/>
      <c r="M368" s="69"/>
    </row>
    <row r="369" spans="2:13" x14ac:dyDescent="0.25">
      <c r="B369" s="66"/>
      <c r="C369" s="66"/>
      <c r="D369" s="52"/>
      <c r="E369" s="69"/>
      <c r="F369" s="69"/>
      <c r="G369" s="69"/>
      <c r="H369" s="69"/>
      <c r="I369" s="69"/>
      <c r="J369" s="69"/>
      <c r="K369" s="69"/>
      <c r="L369" s="69"/>
      <c r="M369" s="69"/>
    </row>
    <row r="370" spans="2:13" x14ac:dyDescent="0.25">
      <c r="B370" s="66"/>
      <c r="C370" s="66"/>
      <c r="D370" s="52"/>
      <c r="E370" s="69"/>
      <c r="F370" s="69"/>
      <c r="G370" s="69"/>
      <c r="H370" s="69"/>
      <c r="I370" s="69"/>
      <c r="J370" s="69"/>
      <c r="K370" s="69"/>
      <c r="L370" s="69"/>
      <c r="M370" s="69"/>
    </row>
    <row r="371" spans="2:13" x14ac:dyDescent="0.25">
      <c r="B371" s="66"/>
      <c r="C371" s="66"/>
      <c r="D371" s="52"/>
      <c r="E371" s="69"/>
      <c r="F371" s="69"/>
      <c r="G371" s="69"/>
      <c r="H371" s="69"/>
      <c r="I371" s="69"/>
      <c r="J371" s="69"/>
      <c r="K371" s="69"/>
      <c r="L371" s="69"/>
      <c r="M371" s="69"/>
    </row>
    <row r="372" spans="2:13" x14ac:dyDescent="0.25">
      <c r="B372" s="66"/>
      <c r="C372" s="66"/>
      <c r="D372" s="52"/>
      <c r="E372" s="69"/>
      <c r="F372" s="69"/>
      <c r="G372" s="69"/>
      <c r="H372" s="69"/>
      <c r="I372" s="69"/>
      <c r="J372" s="69"/>
      <c r="K372" s="69"/>
      <c r="L372" s="69"/>
      <c r="M372" s="69"/>
    </row>
    <row r="373" spans="2:13" x14ac:dyDescent="0.25">
      <c r="B373" s="66"/>
      <c r="C373" s="66"/>
      <c r="D373" s="52"/>
      <c r="E373" s="69"/>
      <c r="F373" s="69"/>
      <c r="G373" s="69"/>
      <c r="H373" s="69"/>
      <c r="I373" s="69"/>
      <c r="J373" s="69"/>
      <c r="K373" s="69"/>
      <c r="L373" s="69"/>
      <c r="M373" s="69"/>
    </row>
    <row r="374" spans="2:13" x14ac:dyDescent="0.25">
      <c r="B374" s="66"/>
      <c r="C374" s="66"/>
      <c r="D374" s="52"/>
      <c r="E374" s="69"/>
      <c r="F374" s="69"/>
      <c r="G374" s="69"/>
      <c r="H374" s="69"/>
      <c r="I374" s="69"/>
      <c r="J374" s="69"/>
      <c r="K374" s="69"/>
      <c r="L374" s="69"/>
      <c r="M374" s="69"/>
    </row>
    <row r="375" spans="2:13" x14ac:dyDescent="0.25">
      <c r="B375" s="66"/>
      <c r="C375" s="66"/>
      <c r="D375" s="52"/>
      <c r="E375" s="69"/>
      <c r="F375" s="69"/>
      <c r="G375" s="69"/>
      <c r="H375" s="69"/>
      <c r="I375" s="69"/>
      <c r="J375" s="69"/>
      <c r="K375" s="69"/>
      <c r="L375" s="69"/>
      <c r="M375" s="69"/>
    </row>
    <row r="376" spans="2:13" x14ac:dyDescent="0.25">
      <c r="B376" s="66"/>
      <c r="C376" s="66"/>
      <c r="D376" s="52"/>
      <c r="E376" s="69"/>
      <c r="F376" s="69"/>
      <c r="G376" s="69"/>
      <c r="H376" s="69"/>
      <c r="I376" s="69"/>
      <c r="J376" s="69"/>
      <c r="K376" s="69"/>
      <c r="L376" s="69"/>
      <c r="M376" s="69"/>
    </row>
    <row r="377" spans="2:13" x14ac:dyDescent="0.25">
      <c r="B377" s="66"/>
      <c r="C377" s="66"/>
      <c r="D377" s="52"/>
      <c r="E377" s="69"/>
      <c r="F377" s="69"/>
      <c r="G377" s="69"/>
      <c r="H377" s="69"/>
      <c r="I377" s="69"/>
      <c r="J377" s="69"/>
      <c r="K377" s="69"/>
      <c r="L377" s="69"/>
      <c r="M377" s="69"/>
    </row>
    <row r="378" spans="2:13" x14ac:dyDescent="0.25">
      <c r="B378" s="66"/>
      <c r="C378" s="66"/>
      <c r="D378" s="52"/>
      <c r="E378" s="69"/>
      <c r="F378" s="69"/>
      <c r="G378" s="69"/>
      <c r="H378" s="69"/>
      <c r="I378" s="69"/>
      <c r="J378" s="69"/>
      <c r="K378" s="69"/>
      <c r="L378" s="69"/>
      <c r="M378" s="69"/>
    </row>
    <row r="379" spans="2:13" x14ac:dyDescent="0.25">
      <c r="B379" s="66"/>
      <c r="C379" s="66"/>
      <c r="D379" s="52"/>
      <c r="E379" s="69"/>
      <c r="F379" s="69"/>
      <c r="G379" s="69"/>
      <c r="H379" s="69"/>
      <c r="I379" s="69"/>
      <c r="J379" s="69"/>
      <c r="K379" s="69"/>
      <c r="L379" s="69"/>
      <c r="M379" s="69"/>
    </row>
    <row r="380" spans="2:13" x14ac:dyDescent="0.25">
      <c r="B380" s="66"/>
      <c r="C380" s="66"/>
      <c r="D380" s="52"/>
      <c r="E380" s="69"/>
      <c r="F380" s="69"/>
      <c r="G380" s="69"/>
      <c r="H380" s="69"/>
      <c r="I380" s="69"/>
      <c r="J380" s="69"/>
      <c r="K380" s="69"/>
      <c r="L380" s="69"/>
      <c r="M380" s="69"/>
    </row>
    <row r="381" spans="2:13" x14ac:dyDescent="0.25">
      <c r="B381" s="66"/>
      <c r="C381" s="66"/>
      <c r="D381" s="52"/>
      <c r="E381" s="69"/>
      <c r="F381" s="69"/>
      <c r="G381" s="69"/>
      <c r="H381" s="69"/>
      <c r="I381" s="69"/>
      <c r="J381" s="69"/>
      <c r="K381" s="69"/>
      <c r="L381" s="69"/>
      <c r="M381" s="69"/>
    </row>
    <row r="382" spans="2:13" x14ac:dyDescent="0.25">
      <c r="B382" s="66"/>
      <c r="C382" s="66"/>
      <c r="D382" s="52"/>
      <c r="E382" s="69"/>
      <c r="F382" s="69"/>
      <c r="G382" s="69"/>
      <c r="H382" s="69"/>
      <c r="I382" s="69"/>
      <c r="J382" s="69"/>
      <c r="K382" s="69"/>
      <c r="L382" s="69"/>
      <c r="M382" s="69"/>
    </row>
    <row r="383" spans="2:13" x14ac:dyDescent="0.25">
      <c r="B383" s="66"/>
      <c r="C383" s="66"/>
      <c r="D383" s="52"/>
      <c r="E383" s="69"/>
      <c r="F383" s="69"/>
      <c r="G383" s="69"/>
      <c r="H383" s="69"/>
      <c r="I383" s="69"/>
      <c r="J383" s="69"/>
      <c r="K383" s="69"/>
      <c r="L383" s="69"/>
      <c r="M383" s="69"/>
    </row>
    <row r="384" spans="2:13" x14ac:dyDescent="0.25">
      <c r="B384" s="66"/>
      <c r="C384" s="66"/>
      <c r="D384" s="52"/>
      <c r="E384" s="69"/>
      <c r="F384" s="69"/>
      <c r="G384" s="69"/>
      <c r="H384" s="69"/>
      <c r="I384" s="69"/>
      <c r="J384" s="69"/>
      <c r="K384" s="69"/>
      <c r="L384" s="69"/>
      <c r="M384" s="69"/>
    </row>
    <row r="385" spans="2:13" x14ac:dyDescent="0.25">
      <c r="B385" s="66"/>
      <c r="C385" s="66"/>
      <c r="D385" s="52"/>
      <c r="E385" s="69"/>
      <c r="F385" s="69"/>
      <c r="G385" s="69"/>
      <c r="H385" s="69"/>
      <c r="I385" s="69"/>
      <c r="J385" s="69"/>
      <c r="K385" s="69"/>
      <c r="L385" s="69"/>
      <c r="M385" s="69"/>
    </row>
    <row r="386" spans="2:13" x14ac:dyDescent="0.25">
      <c r="B386" s="66"/>
      <c r="C386" s="66"/>
      <c r="D386" s="52"/>
      <c r="E386" s="69"/>
      <c r="F386" s="69"/>
      <c r="G386" s="69"/>
      <c r="H386" s="69"/>
      <c r="I386" s="69"/>
      <c r="J386" s="69"/>
      <c r="K386" s="69"/>
      <c r="L386" s="69"/>
      <c r="M386" s="69"/>
    </row>
    <row r="387" spans="2:13" x14ac:dyDescent="0.25">
      <c r="B387" s="66"/>
      <c r="C387" s="66"/>
      <c r="D387" s="52"/>
      <c r="E387" s="69"/>
      <c r="F387" s="69"/>
      <c r="G387" s="69"/>
      <c r="H387" s="69"/>
      <c r="I387" s="69"/>
      <c r="J387" s="69"/>
      <c r="K387" s="69"/>
      <c r="L387" s="69"/>
      <c r="M387" s="69"/>
    </row>
    <row r="388" spans="2:13" x14ac:dyDescent="0.25">
      <c r="B388" s="66"/>
      <c r="C388" s="66"/>
      <c r="D388" s="52"/>
      <c r="E388" s="69"/>
      <c r="F388" s="69"/>
      <c r="G388" s="69"/>
      <c r="H388" s="69"/>
      <c r="I388" s="69"/>
      <c r="J388" s="69"/>
      <c r="K388" s="69"/>
      <c r="L388" s="69"/>
      <c r="M388" s="69"/>
    </row>
    <row r="389" spans="2:13" x14ac:dyDescent="0.25">
      <c r="B389" s="66"/>
      <c r="C389" s="66"/>
      <c r="D389" s="52"/>
      <c r="E389" s="69"/>
      <c r="F389" s="69"/>
      <c r="G389" s="69"/>
      <c r="H389" s="69"/>
      <c r="I389" s="69"/>
      <c r="J389" s="69"/>
      <c r="K389" s="69"/>
      <c r="L389" s="69"/>
      <c r="M389" s="69"/>
    </row>
    <row r="390" spans="2:13" x14ac:dyDescent="0.25">
      <c r="B390" s="66"/>
      <c r="C390" s="66"/>
      <c r="D390" s="52"/>
      <c r="E390" s="69"/>
      <c r="F390" s="69"/>
      <c r="G390" s="69"/>
      <c r="H390" s="69"/>
      <c r="I390" s="69"/>
      <c r="J390" s="69"/>
      <c r="K390" s="69"/>
      <c r="L390" s="69"/>
      <c r="M390" s="69"/>
    </row>
    <row r="391" spans="2:13" x14ac:dyDescent="0.25">
      <c r="B391" s="66"/>
      <c r="C391" s="66"/>
      <c r="D391" s="52"/>
      <c r="E391" s="69"/>
      <c r="F391" s="69"/>
      <c r="G391" s="69"/>
      <c r="H391" s="69"/>
      <c r="I391" s="69"/>
      <c r="J391" s="69"/>
      <c r="K391" s="69"/>
      <c r="L391" s="69"/>
      <c r="M391" s="69"/>
    </row>
    <row r="392" spans="2:13" x14ac:dyDescent="0.25">
      <c r="B392" s="66"/>
      <c r="C392" s="66"/>
      <c r="D392" s="52"/>
      <c r="E392" s="69"/>
      <c r="F392" s="69"/>
      <c r="G392" s="69"/>
      <c r="H392" s="69"/>
      <c r="I392" s="69"/>
      <c r="J392" s="69"/>
      <c r="K392" s="69"/>
      <c r="L392" s="69"/>
      <c r="M392" s="69"/>
    </row>
    <row r="393" spans="2:13" x14ac:dyDescent="0.25">
      <c r="B393" s="66"/>
      <c r="C393" s="66"/>
      <c r="D393" s="52"/>
      <c r="E393" s="69"/>
      <c r="F393" s="69"/>
      <c r="G393" s="69"/>
      <c r="H393" s="69"/>
      <c r="I393" s="69"/>
      <c r="J393" s="69"/>
      <c r="K393" s="69"/>
      <c r="L393" s="69"/>
      <c r="M393" s="69"/>
    </row>
    <row r="394" spans="2:13" x14ac:dyDescent="0.25">
      <c r="B394" s="66"/>
      <c r="C394" s="66"/>
      <c r="D394" s="52"/>
      <c r="E394" s="69"/>
      <c r="F394" s="69"/>
      <c r="G394" s="69"/>
      <c r="H394" s="69"/>
      <c r="I394" s="69"/>
      <c r="J394" s="69"/>
      <c r="K394" s="69"/>
      <c r="L394" s="69"/>
      <c r="M394" s="69"/>
    </row>
    <row r="395" spans="2:13" x14ac:dyDescent="0.25">
      <c r="B395" s="66"/>
      <c r="C395" s="66"/>
      <c r="D395" s="52"/>
      <c r="E395" s="69"/>
      <c r="F395" s="69"/>
      <c r="G395" s="69"/>
      <c r="H395" s="69"/>
      <c r="I395" s="69"/>
      <c r="J395" s="69"/>
      <c r="K395" s="69"/>
      <c r="L395" s="69"/>
      <c r="M395" s="69"/>
    </row>
    <row r="396" spans="2:13" x14ac:dyDescent="0.25">
      <c r="B396" s="66"/>
      <c r="C396" s="66"/>
      <c r="D396" s="52"/>
      <c r="E396" s="69"/>
      <c r="F396" s="69"/>
      <c r="G396" s="69"/>
      <c r="H396" s="69"/>
      <c r="I396" s="69"/>
      <c r="J396" s="69"/>
      <c r="K396" s="69"/>
      <c r="L396" s="69"/>
      <c r="M396" s="69"/>
    </row>
    <row r="397" spans="2:13" x14ac:dyDescent="0.25">
      <c r="B397" s="66"/>
      <c r="C397" s="66"/>
      <c r="D397" s="52"/>
      <c r="E397" s="69"/>
      <c r="F397" s="69"/>
      <c r="G397" s="69"/>
      <c r="H397" s="69"/>
      <c r="I397" s="69"/>
      <c r="J397" s="69"/>
      <c r="K397" s="69"/>
      <c r="L397" s="69"/>
      <c r="M397" s="69"/>
    </row>
    <row r="398" spans="2:13" x14ac:dyDescent="0.25">
      <c r="B398" s="66"/>
      <c r="C398" s="66"/>
      <c r="D398" s="52"/>
      <c r="E398" s="69"/>
      <c r="F398" s="69"/>
      <c r="G398" s="69"/>
      <c r="H398" s="69"/>
      <c r="I398" s="69"/>
      <c r="J398" s="69"/>
      <c r="K398" s="69"/>
      <c r="L398" s="69"/>
      <c r="M398" s="69"/>
    </row>
    <row r="399" spans="2:13" x14ac:dyDescent="0.25">
      <c r="B399" s="66"/>
      <c r="C399" s="66"/>
      <c r="D399" s="52"/>
      <c r="E399" s="69"/>
      <c r="F399" s="69"/>
      <c r="G399" s="69"/>
      <c r="H399" s="69"/>
      <c r="I399" s="69"/>
      <c r="J399" s="69"/>
      <c r="K399" s="69"/>
      <c r="L399" s="69"/>
      <c r="M399" s="69"/>
    </row>
    <row r="400" spans="2:13" x14ac:dyDescent="0.25">
      <c r="B400" s="66"/>
      <c r="C400" s="66"/>
      <c r="D400" s="52"/>
      <c r="E400" s="69"/>
      <c r="F400" s="69"/>
      <c r="G400" s="69"/>
      <c r="H400" s="69"/>
      <c r="I400" s="69"/>
      <c r="J400" s="69"/>
      <c r="K400" s="69"/>
      <c r="L400" s="69"/>
      <c r="M400" s="69"/>
    </row>
    <row r="401" spans="2:13" x14ac:dyDescent="0.25">
      <c r="B401" s="66"/>
      <c r="C401" s="66"/>
      <c r="D401" s="52"/>
      <c r="E401" s="69"/>
      <c r="F401" s="69"/>
      <c r="G401" s="69"/>
      <c r="H401" s="69"/>
      <c r="I401" s="69"/>
      <c r="J401" s="69"/>
      <c r="K401" s="69"/>
      <c r="L401" s="69"/>
      <c r="M401" s="69"/>
    </row>
    <row r="402" spans="2:13" x14ac:dyDescent="0.25">
      <c r="B402" s="66"/>
      <c r="C402" s="66"/>
      <c r="D402" s="52"/>
      <c r="E402" s="69"/>
      <c r="F402" s="69"/>
      <c r="G402" s="69"/>
      <c r="H402" s="69"/>
      <c r="I402" s="69"/>
      <c r="J402" s="69"/>
      <c r="K402" s="69"/>
      <c r="L402" s="69"/>
      <c r="M402" s="69"/>
    </row>
    <row r="403" spans="2:13" x14ac:dyDescent="0.25">
      <c r="B403" s="66"/>
      <c r="C403" s="66"/>
      <c r="D403" s="52"/>
      <c r="E403" s="69"/>
      <c r="F403" s="69"/>
      <c r="G403" s="69"/>
      <c r="H403" s="69"/>
      <c r="I403" s="69"/>
      <c r="J403" s="69"/>
      <c r="K403" s="69"/>
      <c r="L403" s="69"/>
      <c r="M403" s="69"/>
    </row>
    <row r="404" spans="2:13" x14ac:dyDescent="0.25">
      <c r="B404" s="66"/>
      <c r="C404" s="66"/>
      <c r="D404" s="52"/>
      <c r="E404" s="69"/>
      <c r="F404" s="69"/>
      <c r="G404" s="69"/>
      <c r="H404" s="69"/>
      <c r="I404" s="69"/>
      <c r="J404" s="69"/>
      <c r="K404" s="69"/>
      <c r="L404" s="69"/>
      <c r="M404" s="69"/>
    </row>
    <row r="405" spans="2:13" x14ac:dyDescent="0.25">
      <c r="B405" s="66"/>
      <c r="C405" s="66"/>
      <c r="D405" s="52"/>
      <c r="E405" s="69"/>
      <c r="F405" s="69"/>
      <c r="G405" s="69"/>
      <c r="H405" s="69"/>
      <c r="I405" s="69"/>
      <c r="J405" s="69"/>
      <c r="K405" s="69"/>
      <c r="L405" s="69"/>
      <c r="M405" s="69"/>
    </row>
    <row r="406" spans="2:13" x14ac:dyDescent="0.25">
      <c r="B406" s="66"/>
      <c r="C406" s="66"/>
      <c r="D406" s="52"/>
      <c r="E406" s="69"/>
      <c r="F406" s="69"/>
      <c r="G406" s="69"/>
      <c r="H406" s="69"/>
      <c r="I406" s="69"/>
      <c r="J406" s="69"/>
      <c r="K406" s="69"/>
      <c r="L406" s="69"/>
      <c r="M406" s="69"/>
    </row>
    <row r="407" spans="2:13" x14ac:dyDescent="0.25">
      <c r="B407" s="66"/>
      <c r="C407" s="66"/>
      <c r="D407" s="52"/>
      <c r="E407" s="69"/>
      <c r="F407" s="69"/>
      <c r="G407" s="69"/>
      <c r="H407" s="69"/>
      <c r="I407" s="69"/>
      <c r="J407" s="69"/>
      <c r="K407" s="69"/>
      <c r="L407" s="69"/>
      <c r="M407" s="69"/>
    </row>
    <row r="408" spans="2:13" x14ac:dyDescent="0.25">
      <c r="B408" s="66"/>
      <c r="C408" s="66"/>
      <c r="D408" s="52"/>
      <c r="E408" s="69"/>
      <c r="F408" s="69"/>
      <c r="G408" s="69"/>
      <c r="H408" s="69"/>
      <c r="I408" s="69"/>
      <c r="J408" s="69"/>
      <c r="K408" s="69"/>
      <c r="L408" s="69"/>
      <c r="M408" s="69"/>
    </row>
    <row r="409" spans="2:13" x14ac:dyDescent="0.25">
      <c r="B409" s="66"/>
      <c r="C409" s="66"/>
      <c r="D409" s="52"/>
      <c r="E409" s="69"/>
      <c r="F409" s="69"/>
      <c r="G409" s="69"/>
      <c r="H409" s="69"/>
      <c r="I409" s="69"/>
      <c r="J409" s="69"/>
      <c r="K409" s="69"/>
      <c r="L409" s="69"/>
      <c r="M409" s="69"/>
    </row>
    <row r="410" spans="2:13" x14ac:dyDescent="0.25">
      <c r="B410" s="66"/>
      <c r="C410" s="66"/>
      <c r="D410" s="52"/>
      <c r="E410" s="69"/>
      <c r="F410" s="69"/>
      <c r="G410" s="69"/>
      <c r="H410" s="69"/>
      <c r="I410" s="69"/>
      <c r="J410" s="69"/>
      <c r="K410" s="69"/>
      <c r="L410" s="69"/>
      <c r="M410" s="69"/>
    </row>
    <row r="411" spans="2:13" x14ac:dyDescent="0.25">
      <c r="B411" s="66"/>
      <c r="C411" s="66"/>
      <c r="D411" s="52"/>
      <c r="E411" s="69"/>
      <c r="F411" s="69"/>
      <c r="G411" s="69"/>
      <c r="H411" s="69"/>
      <c r="I411" s="69"/>
      <c r="J411" s="69"/>
      <c r="K411" s="69"/>
      <c r="L411" s="69"/>
      <c r="M411" s="69"/>
    </row>
    <row r="412" spans="2:13" x14ac:dyDescent="0.25">
      <c r="B412" s="66"/>
      <c r="C412" s="66"/>
      <c r="D412" s="52"/>
      <c r="E412" s="69"/>
      <c r="F412" s="69"/>
      <c r="G412" s="69"/>
      <c r="H412" s="69"/>
      <c r="I412" s="69"/>
      <c r="J412" s="69"/>
      <c r="K412" s="69"/>
      <c r="L412" s="69"/>
      <c r="M412" s="69"/>
    </row>
    <row r="413" spans="2:13" x14ac:dyDescent="0.25">
      <c r="B413" s="66"/>
      <c r="C413" s="66"/>
      <c r="D413" s="52"/>
      <c r="E413" s="69"/>
      <c r="F413" s="69"/>
      <c r="G413" s="69"/>
      <c r="H413" s="69"/>
      <c r="I413" s="69"/>
      <c r="J413" s="69"/>
      <c r="K413" s="69"/>
      <c r="L413" s="69"/>
      <c r="M413" s="69"/>
    </row>
    <row r="414" spans="2:13" x14ac:dyDescent="0.25">
      <c r="B414" s="66"/>
      <c r="C414" s="66"/>
      <c r="D414" s="52"/>
      <c r="E414" s="69"/>
      <c r="F414" s="69"/>
      <c r="G414" s="69"/>
      <c r="H414" s="69"/>
      <c r="I414" s="69"/>
      <c r="J414" s="69"/>
      <c r="K414" s="69"/>
      <c r="L414" s="69"/>
      <c r="M414" s="69"/>
    </row>
    <row r="415" spans="2:13" x14ac:dyDescent="0.25">
      <c r="B415" s="66"/>
      <c r="C415" s="66"/>
      <c r="D415" s="52"/>
      <c r="E415" s="69"/>
      <c r="F415" s="69"/>
      <c r="G415" s="69"/>
      <c r="H415" s="69"/>
      <c r="I415" s="69"/>
      <c r="J415" s="69"/>
      <c r="K415" s="69"/>
      <c r="L415" s="69"/>
      <c r="M415" s="69"/>
    </row>
    <row r="416" spans="2:13" x14ac:dyDescent="0.25">
      <c r="B416" s="66"/>
      <c r="C416" s="66"/>
      <c r="D416" s="52"/>
      <c r="E416" s="69"/>
      <c r="F416" s="69"/>
      <c r="G416" s="69"/>
      <c r="H416" s="69"/>
      <c r="I416" s="69"/>
      <c r="J416" s="69"/>
      <c r="K416" s="69"/>
      <c r="L416" s="69"/>
      <c r="M416" s="69"/>
    </row>
    <row r="417" spans="2:13" x14ac:dyDescent="0.25">
      <c r="B417" s="66"/>
      <c r="C417" s="66"/>
      <c r="D417" s="52"/>
      <c r="E417" s="69"/>
      <c r="F417" s="69"/>
      <c r="G417" s="69"/>
      <c r="H417" s="69"/>
      <c r="I417" s="69"/>
      <c r="J417" s="69"/>
      <c r="K417" s="69"/>
      <c r="L417" s="69"/>
      <c r="M417" s="69"/>
    </row>
    <row r="418" spans="2:13" x14ac:dyDescent="0.25">
      <c r="B418" s="66"/>
      <c r="C418" s="66"/>
      <c r="D418" s="52"/>
      <c r="E418" s="69"/>
      <c r="F418" s="69"/>
      <c r="G418" s="69"/>
      <c r="H418" s="69"/>
      <c r="I418" s="69"/>
      <c r="J418" s="69"/>
      <c r="K418" s="69"/>
      <c r="L418" s="69"/>
      <c r="M418" s="69"/>
    </row>
    <row r="419" spans="2:13" x14ac:dyDescent="0.25">
      <c r="B419" s="66"/>
      <c r="C419" s="66"/>
      <c r="D419" s="52"/>
      <c r="E419" s="69"/>
      <c r="F419" s="69"/>
      <c r="G419" s="69"/>
      <c r="H419" s="69"/>
      <c r="I419" s="69"/>
      <c r="J419" s="69"/>
      <c r="K419" s="69"/>
      <c r="L419" s="69"/>
      <c r="M419" s="69"/>
    </row>
    <row r="420" spans="2:13" x14ac:dyDescent="0.25">
      <c r="B420" s="66"/>
      <c r="C420" s="66"/>
      <c r="D420" s="52"/>
      <c r="E420" s="69"/>
      <c r="F420" s="69"/>
      <c r="G420" s="69"/>
      <c r="H420" s="69"/>
      <c r="I420" s="69"/>
      <c r="J420" s="69"/>
      <c r="K420" s="69"/>
      <c r="L420" s="69"/>
      <c r="M420" s="69"/>
    </row>
    <row r="421" spans="2:13" x14ac:dyDescent="0.25">
      <c r="B421" s="66"/>
      <c r="C421" s="66"/>
      <c r="D421" s="52"/>
      <c r="E421" s="69"/>
      <c r="F421" s="69"/>
      <c r="G421" s="69"/>
      <c r="H421" s="69"/>
      <c r="I421" s="69"/>
      <c r="J421" s="69"/>
      <c r="K421" s="69"/>
      <c r="L421" s="69"/>
      <c r="M421" s="69"/>
    </row>
    <row r="422" spans="2:13" x14ac:dyDescent="0.25">
      <c r="B422" s="66"/>
      <c r="C422" s="66"/>
      <c r="D422" s="52"/>
      <c r="E422" s="69"/>
      <c r="F422" s="69"/>
      <c r="G422" s="69"/>
      <c r="H422" s="69"/>
      <c r="I422" s="69"/>
      <c r="J422" s="69"/>
      <c r="K422" s="69"/>
      <c r="L422" s="69"/>
      <c r="M422" s="69"/>
    </row>
    <row r="423" spans="2:13" x14ac:dyDescent="0.25">
      <c r="B423" s="66"/>
      <c r="C423" s="66"/>
      <c r="D423" s="52"/>
      <c r="E423" s="69"/>
      <c r="F423" s="69"/>
      <c r="G423" s="69"/>
      <c r="H423" s="69"/>
      <c r="I423" s="69"/>
      <c r="J423" s="69"/>
      <c r="K423" s="69"/>
      <c r="L423" s="69"/>
      <c r="M423" s="69"/>
    </row>
    <row r="424" spans="2:13" x14ac:dyDescent="0.25">
      <c r="B424" s="66"/>
      <c r="C424" s="66"/>
      <c r="D424" s="52"/>
      <c r="E424" s="69"/>
      <c r="F424" s="69"/>
      <c r="G424" s="69"/>
      <c r="H424" s="69"/>
      <c r="I424" s="69"/>
      <c r="J424" s="69"/>
      <c r="K424" s="69"/>
      <c r="L424" s="69"/>
      <c r="M424" s="69"/>
    </row>
    <row r="425" spans="2:13" x14ac:dyDescent="0.25">
      <c r="B425" s="66"/>
      <c r="C425" s="66"/>
      <c r="D425" s="52"/>
      <c r="E425" s="69"/>
      <c r="F425" s="69"/>
      <c r="G425" s="69"/>
      <c r="H425" s="69"/>
      <c r="I425" s="69"/>
      <c r="J425" s="69"/>
      <c r="K425" s="69"/>
      <c r="L425" s="69"/>
      <c r="M425" s="69"/>
    </row>
    <row r="426" spans="2:13" x14ac:dyDescent="0.25">
      <c r="B426" s="66"/>
      <c r="C426" s="66"/>
      <c r="D426" s="52"/>
      <c r="E426" s="69"/>
      <c r="F426" s="69"/>
      <c r="G426" s="69"/>
      <c r="H426" s="69"/>
      <c r="I426" s="69"/>
      <c r="J426" s="69"/>
      <c r="K426" s="69"/>
      <c r="L426" s="69"/>
      <c r="M426" s="69"/>
    </row>
    <row r="427" spans="2:13" x14ac:dyDescent="0.25">
      <c r="B427" s="66"/>
      <c r="C427" s="66"/>
      <c r="D427" s="52"/>
      <c r="E427" s="69"/>
      <c r="F427" s="69"/>
      <c r="G427" s="69"/>
      <c r="H427" s="69"/>
      <c r="I427" s="69"/>
      <c r="J427" s="69"/>
      <c r="K427" s="69"/>
      <c r="L427" s="69"/>
      <c r="M427" s="69"/>
    </row>
    <row r="428" spans="2:13" x14ac:dyDescent="0.25">
      <c r="B428" s="66"/>
      <c r="C428" s="66"/>
      <c r="D428" s="52"/>
      <c r="E428" s="69"/>
      <c r="F428" s="69"/>
      <c r="G428" s="69"/>
      <c r="H428" s="69"/>
      <c r="I428" s="69"/>
      <c r="J428" s="69"/>
      <c r="K428" s="69"/>
      <c r="L428" s="69"/>
      <c r="M428" s="69"/>
    </row>
    <row r="429" spans="2:13" x14ac:dyDescent="0.25">
      <c r="B429" s="66"/>
      <c r="C429" s="66"/>
      <c r="D429" s="52"/>
      <c r="E429" s="69"/>
      <c r="F429" s="69"/>
      <c r="G429" s="69"/>
      <c r="H429" s="69"/>
      <c r="I429" s="69"/>
      <c r="J429" s="69"/>
      <c r="K429" s="69"/>
      <c r="L429" s="69"/>
      <c r="M429" s="69"/>
    </row>
    <row r="430" spans="2:13" x14ac:dyDescent="0.25">
      <c r="B430" s="66"/>
      <c r="C430" s="66"/>
      <c r="D430" s="52"/>
      <c r="E430" s="69"/>
      <c r="F430" s="69"/>
      <c r="G430" s="69"/>
      <c r="H430" s="69"/>
      <c r="I430" s="69"/>
      <c r="J430" s="69"/>
      <c r="K430" s="69"/>
      <c r="L430" s="69"/>
      <c r="M430" s="69"/>
    </row>
    <row r="431" spans="2:13" x14ac:dyDescent="0.25">
      <c r="B431" s="66"/>
      <c r="C431" s="66"/>
      <c r="D431" s="52"/>
      <c r="E431" s="69"/>
      <c r="F431" s="69"/>
      <c r="G431" s="69"/>
      <c r="H431" s="69"/>
      <c r="I431" s="69"/>
      <c r="J431" s="69"/>
      <c r="K431" s="69"/>
      <c r="L431" s="69"/>
      <c r="M431" s="69"/>
    </row>
    <row r="432" spans="2:13" x14ac:dyDescent="0.25">
      <c r="B432" s="66"/>
      <c r="C432" s="66"/>
      <c r="D432" s="52"/>
      <c r="E432" s="69"/>
      <c r="F432" s="69"/>
      <c r="G432" s="69"/>
      <c r="H432" s="69"/>
      <c r="I432" s="69"/>
      <c r="J432" s="69"/>
      <c r="K432" s="69"/>
      <c r="L432" s="69"/>
      <c r="M432" s="69"/>
    </row>
    <row r="433" spans="2:13" x14ac:dyDescent="0.25">
      <c r="B433" s="66"/>
      <c r="C433" s="66"/>
      <c r="D433" s="52"/>
      <c r="E433" s="69"/>
      <c r="F433" s="69"/>
      <c r="G433" s="69"/>
      <c r="H433" s="69"/>
      <c r="I433" s="69"/>
      <c r="J433" s="69"/>
      <c r="K433" s="69"/>
      <c r="L433" s="69"/>
      <c r="M433" s="69"/>
    </row>
    <row r="434" spans="2:13" x14ac:dyDescent="0.25">
      <c r="B434" s="66"/>
      <c r="C434" s="66"/>
      <c r="D434" s="52"/>
      <c r="E434" s="69"/>
      <c r="F434" s="69"/>
      <c r="G434" s="69"/>
      <c r="H434" s="69"/>
      <c r="I434" s="69"/>
      <c r="J434" s="69"/>
      <c r="K434" s="69"/>
      <c r="L434" s="69"/>
      <c r="M434" s="69"/>
    </row>
    <row r="435" spans="2:13" x14ac:dyDescent="0.25">
      <c r="B435" s="66"/>
      <c r="C435" s="66"/>
      <c r="D435" s="52"/>
      <c r="E435" s="69"/>
      <c r="F435" s="69"/>
      <c r="G435" s="69"/>
      <c r="H435" s="69"/>
      <c r="I435" s="69"/>
      <c r="J435" s="69"/>
      <c r="K435" s="69"/>
      <c r="L435" s="69"/>
      <c r="M435" s="69"/>
    </row>
    <row r="436" spans="2:13" x14ac:dyDescent="0.25">
      <c r="B436" s="66"/>
      <c r="C436" s="66"/>
      <c r="D436" s="52"/>
      <c r="E436" s="69"/>
      <c r="F436" s="69"/>
      <c r="G436" s="69"/>
      <c r="H436" s="69"/>
      <c r="I436" s="69"/>
      <c r="J436" s="69"/>
      <c r="K436" s="69"/>
      <c r="L436" s="69"/>
      <c r="M436" s="69"/>
    </row>
    <row r="437" spans="2:13" x14ac:dyDescent="0.25">
      <c r="B437" s="66"/>
      <c r="C437" s="66"/>
      <c r="D437" s="52"/>
      <c r="E437" s="69"/>
      <c r="F437" s="69"/>
      <c r="G437" s="69"/>
      <c r="H437" s="69"/>
      <c r="I437" s="69"/>
      <c r="J437" s="69"/>
      <c r="K437" s="69"/>
      <c r="L437" s="69"/>
      <c r="M437" s="69"/>
    </row>
    <row r="438" spans="2:13" x14ac:dyDescent="0.25">
      <c r="B438" s="66"/>
      <c r="C438" s="66"/>
      <c r="D438" s="52"/>
      <c r="E438" s="69"/>
      <c r="F438" s="69"/>
      <c r="G438" s="69"/>
      <c r="H438" s="69"/>
      <c r="I438" s="69"/>
      <c r="J438" s="69"/>
      <c r="K438" s="69"/>
      <c r="L438" s="69"/>
      <c r="M438" s="69"/>
    </row>
    <row r="439" spans="2:13" x14ac:dyDescent="0.25">
      <c r="B439" s="66"/>
      <c r="C439" s="66"/>
      <c r="D439" s="52"/>
      <c r="E439" s="69"/>
      <c r="F439" s="69"/>
      <c r="G439" s="69"/>
      <c r="H439" s="69"/>
      <c r="I439" s="69"/>
      <c r="J439" s="69"/>
      <c r="K439" s="69"/>
      <c r="L439" s="69"/>
      <c r="M439" s="69"/>
    </row>
    <row r="440" spans="2:13" x14ac:dyDescent="0.25">
      <c r="B440" s="66"/>
      <c r="C440" s="66"/>
      <c r="D440" s="52"/>
      <c r="E440" s="69"/>
      <c r="F440" s="69"/>
      <c r="G440" s="69"/>
      <c r="H440" s="69"/>
      <c r="I440" s="69"/>
      <c r="J440" s="69"/>
      <c r="K440" s="69"/>
      <c r="L440" s="69"/>
      <c r="M440" s="69"/>
    </row>
    <row r="441" spans="2:13" x14ac:dyDescent="0.25">
      <c r="B441" s="66"/>
      <c r="C441" s="66"/>
      <c r="D441" s="52"/>
      <c r="E441" s="69"/>
      <c r="F441" s="69"/>
      <c r="G441" s="69"/>
      <c r="H441" s="69"/>
      <c r="I441" s="69"/>
      <c r="J441" s="69"/>
      <c r="K441" s="69"/>
      <c r="L441" s="69"/>
      <c r="M441" s="69"/>
    </row>
    <row r="442" spans="2:13" x14ac:dyDescent="0.25">
      <c r="B442" s="66"/>
      <c r="C442" s="66"/>
      <c r="D442" s="52"/>
      <c r="E442" s="69"/>
      <c r="F442" s="69"/>
      <c r="G442" s="69"/>
      <c r="H442" s="69"/>
      <c r="I442" s="69"/>
      <c r="J442" s="69"/>
      <c r="K442" s="69"/>
      <c r="L442" s="69"/>
      <c r="M442" s="69"/>
    </row>
    <row r="443" spans="2:13" x14ac:dyDescent="0.25">
      <c r="B443" s="66"/>
      <c r="C443" s="66"/>
      <c r="D443" s="52"/>
      <c r="E443" s="69"/>
      <c r="F443" s="69"/>
      <c r="G443" s="69"/>
      <c r="H443" s="69"/>
      <c r="I443" s="69"/>
      <c r="J443" s="69"/>
      <c r="K443" s="69"/>
      <c r="L443" s="69"/>
      <c r="M443" s="69"/>
    </row>
    <row r="444" spans="2:13" x14ac:dyDescent="0.25">
      <c r="B444" s="66"/>
      <c r="C444" s="66"/>
      <c r="D444" s="52"/>
      <c r="E444" s="69"/>
      <c r="F444" s="69"/>
      <c r="G444" s="69"/>
      <c r="H444" s="69"/>
      <c r="I444" s="69"/>
      <c r="J444" s="69"/>
      <c r="K444" s="69"/>
      <c r="L444" s="69"/>
      <c r="M444" s="69"/>
    </row>
    <row r="445" spans="2:13" x14ac:dyDescent="0.25">
      <c r="B445" s="66"/>
      <c r="C445" s="66"/>
      <c r="D445" s="52"/>
      <c r="E445" s="69"/>
      <c r="F445" s="69"/>
      <c r="G445" s="69"/>
      <c r="H445" s="69"/>
      <c r="I445" s="69"/>
      <c r="J445" s="69"/>
      <c r="K445" s="69"/>
      <c r="L445" s="69"/>
      <c r="M445" s="69"/>
    </row>
    <row r="446" spans="2:13" x14ac:dyDescent="0.25">
      <c r="B446" s="66"/>
      <c r="C446" s="66"/>
      <c r="D446" s="52"/>
      <c r="E446" s="69"/>
      <c r="F446" s="69"/>
      <c r="G446" s="69"/>
      <c r="H446" s="69"/>
      <c r="I446" s="69"/>
      <c r="J446" s="69"/>
      <c r="K446" s="69"/>
      <c r="L446" s="69"/>
      <c r="M446" s="69"/>
    </row>
    <row r="447" spans="2:13" x14ac:dyDescent="0.25">
      <c r="B447" s="66"/>
      <c r="C447" s="66"/>
      <c r="D447" s="52"/>
      <c r="E447" s="69"/>
      <c r="F447" s="69"/>
      <c r="G447" s="69"/>
      <c r="H447" s="69"/>
      <c r="I447" s="69"/>
      <c r="J447" s="69"/>
      <c r="K447" s="69"/>
      <c r="L447" s="69"/>
      <c r="M447" s="69"/>
    </row>
    <row r="448" spans="2:13" x14ac:dyDescent="0.25">
      <c r="B448" s="66"/>
      <c r="C448" s="66"/>
      <c r="D448" s="52"/>
      <c r="E448" s="69"/>
      <c r="F448" s="69"/>
      <c r="G448" s="69"/>
      <c r="H448" s="69"/>
      <c r="I448" s="69"/>
      <c r="J448" s="69"/>
      <c r="K448" s="69"/>
      <c r="L448" s="69"/>
      <c r="M448" s="69"/>
    </row>
    <row r="449" spans="2:13" x14ac:dyDescent="0.25">
      <c r="B449" s="66"/>
      <c r="C449" s="66"/>
      <c r="D449" s="52"/>
      <c r="E449" s="69"/>
      <c r="F449" s="69"/>
      <c r="G449" s="69"/>
      <c r="H449" s="69"/>
      <c r="I449" s="69"/>
      <c r="J449" s="69"/>
      <c r="K449" s="69"/>
      <c r="L449" s="69"/>
      <c r="M449" s="69"/>
    </row>
    <row r="450" spans="2:13" x14ac:dyDescent="0.25">
      <c r="B450" s="66"/>
      <c r="C450" s="66"/>
      <c r="D450" s="52"/>
      <c r="E450" s="69"/>
      <c r="F450" s="69"/>
      <c r="G450" s="69"/>
      <c r="H450" s="69"/>
      <c r="I450" s="69"/>
      <c r="J450" s="69"/>
      <c r="K450" s="69"/>
      <c r="L450" s="69"/>
      <c r="M450" s="69"/>
    </row>
    <row r="451" spans="2:13" x14ac:dyDescent="0.25">
      <c r="B451" s="66"/>
      <c r="C451" s="66"/>
      <c r="D451" s="52"/>
      <c r="E451" s="69"/>
      <c r="F451" s="69"/>
      <c r="G451" s="69"/>
      <c r="H451" s="69"/>
      <c r="I451" s="69"/>
      <c r="J451" s="69"/>
      <c r="K451" s="69"/>
      <c r="L451" s="69"/>
      <c r="M451" s="69"/>
    </row>
    <row r="452" spans="2:13" x14ac:dyDescent="0.25">
      <c r="B452" s="66"/>
      <c r="C452" s="66"/>
      <c r="D452" s="52"/>
      <c r="E452" s="69"/>
      <c r="F452" s="69"/>
      <c r="G452" s="69"/>
      <c r="H452" s="69"/>
      <c r="I452" s="69"/>
      <c r="J452" s="69"/>
      <c r="K452" s="69"/>
      <c r="L452" s="69"/>
      <c r="M452" s="69"/>
    </row>
    <row r="453" spans="2:13" x14ac:dyDescent="0.25">
      <c r="B453" s="66"/>
      <c r="C453" s="66"/>
      <c r="D453" s="52"/>
      <c r="E453" s="69"/>
      <c r="F453" s="69"/>
      <c r="G453" s="69"/>
      <c r="H453" s="69"/>
      <c r="I453" s="69"/>
      <c r="J453" s="69"/>
      <c r="K453" s="69"/>
      <c r="L453" s="69"/>
      <c r="M453" s="69"/>
    </row>
    <row r="454" spans="2:13" x14ac:dyDescent="0.25">
      <c r="B454" s="66"/>
      <c r="C454" s="66"/>
      <c r="D454" s="52"/>
      <c r="E454" s="69"/>
      <c r="F454" s="69"/>
      <c r="G454" s="69"/>
      <c r="H454" s="69"/>
      <c r="I454" s="69"/>
      <c r="J454" s="69"/>
      <c r="K454" s="69"/>
      <c r="L454" s="69"/>
      <c r="M454" s="69"/>
    </row>
    <row r="455" spans="2:13" x14ac:dyDescent="0.25">
      <c r="B455" s="66"/>
      <c r="C455" s="66"/>
      <c r="D455" s="52"/>
      <c r="E455" s="69"/>
      <c r="F455" s="69"/>
      <c r="G455" s="69"/>
      <c r="H455" s="69"/>
      <c r="I455" s="69"/>
      <c r="J455" s="69"/>
      <c r="K455" s="69"/>
      <c r="L455" s="69"/>
      <c r="M455" s="69"/>
    </row>
    <row r="456" spans="2:13" x14ac:dyDescent="0.25">
      <c r="B456" s="66"/>
      <c r="C456" s="66"/>
      <c r="D456" s="52"/>
      <c r="E456" s="69"/>
      <c r="F456" s="69"/>
      <c r="G456" s="69"/>
      <c r="H456" s="69"/>
      <c r="I456" s="69"/>
      <c r="J456" s="69"/>
      <c r="K456" s="69"/>
      <c r="L456" s="69"/>
      <c r="M456" s="69"/>
    </row>
    <row r="457" spans="2:13" x14ac:dyDescent="0.25">
      <c r="B457" s="66"/>
      <c r="C457" s="66"/>
      <c r="D457" s="52"/>
      <c r="E457" s="69"/>
      <c r="F457" s="69"/>
      <c r="G457" s="69"/>
      <c r="H457" s="69"/>
      <c r="I457" s="69"/>
      <c r="J457" s="69"/>
      <c r="K457" s="69"/>
      <c r="L457" s="69"/>
      <c r="M457" s="69"/>
    </row>
    <row r="458" spans="2:13" x14ac:dyDescent="0.25">
      <c r="B458" s="66"/>
      <c r="C458" s="66"/>
      <c r="D458" s="52"/>
      <c r="E458" s="69"/>
      <c r="F458" s="69"/>
      <c r="G458" s="69"/>
      <c r="H458" s="69"/>
      <c r="I458" s="69"/>
      <c r="J458" s="69"/>
      <c r="K458" s="69"/>
      <c r="L458" s="69"/>
      <c r="M458" s="69"/>
    </row>
    <row r="459" spans="2:13" x14ac:dyDescent="0.25">
      <c r="B459" s="66"/>
      <c r="C459" s="66"/>
      <c r="D459" s="52"/>
      <c r="E459" s="69"/>
      <c r="F459" s="69"/>
      <c r="G459" s="69"/>
      <c r="H459" s="69"/>
      <c r="I459" s="69"/>
      <c r="J459" s="69"/>
      <c r="K459" s="69"/>
      <c r="L459" s="69"/>
      <c r="M459" s="69"/>
    </row>
    <row r="460" spans="2:13" x14ac:dyDescent="0.25">
      <c r="B460" s="66"/>
      <c r="C460" s="66"/>
      <c r="D460" s="52"/>
      <c r="E460" s="69"/>
      <c r="F460" s="69"/>
      <c r="G460" s="69"/>
      <c r="H460" s="69"/>
      <c r="I460" s="69"/>
      <c r="J460" s="69"/>
      <c r="K460" s="69"/>
      <c r="L460" s="69"/>
      <c r="M460" s="69"/>
    </row>
    <row r="461" spans="2:13" x14ac:dyDescent="0.25">
      <c r="B461" s="66"/>
      <c r="C461" s="66"/>
      <c r="D461" s="52"/>
      <c r="E461" s="69"/>
      <c r="F461" s="69"/>
      <c r="G461" s="69"/>
      <c r="H461" s="69"/>
      <c r="I461" s="69"/>
      <c r="J461" s="69"/>
      <c r="K461" s="69"/>
      <c r="L461" s="69"/>
      <c r="M461" s="69"/>
    </row>
    <row r="462" spans="2:13" x14ac:dyDescent="0.25">
      <c r="B462" s="66"/>
      <c r="C462" s="66"/>
      <c r="D462" s="52"/>
      <c r="E462" s="69"/>
      <c r="F462" s="69"/>
      <c r="G462" s="69"/>
      <c r="H462" s="69"/>
      <c r="I462" s="69"/>
      <c r="J462" s="69"/>
      <c r="K462" s="69"/>
      <c r="L462" s="69"/>
      <c r="M462" s="69"/>
    </row>
    <row r="463" spans="2:13" x14ac:dyDescent="0.25">
      <c r="B463" s="66"/>
      <c r="C463" s="66"/>
      <c r="D463" s="52"/>
      <c r="E463" s="69"/>
      <c r="F463" s="69"/>
      <c r="G463" s="69"/>
      <c r="H463" s="69"/>
      <c r="I463" s="69"/>
      <c r="J463" s="69"/>
      <c r="K463" s="69"/>
      <c r="L463" s="69"/>
      <c r="M463" s="69"/>
    </row>
    <row r="464" spans="2:13" x14ac:dyDescent="0.25">
      <c r="B464" s="66"/>
      <c r="C464" s="66"/>
      <c r="D464" s="52"/>
      <c r="E464" s="69"/>
      <c r="F464" s="69"/>
      <c r="G464" s="69"/>
      <c r="H464" s="69"/>
      <c r="I464" s="69"/>
      <c r="J464" s="69"/>
      <c r="K464" s="69"/>
      <c r="L464" s="69"/>
      <c r="M464" s="69"/>
    </row>
    <row r="465" spans="2:13" x14ac:dyDescent="0.25">
      <c r="B465" s="66"/>
      <c r="C465" s="66"/>
      <c r="D465" s="52"/>
      <c r="E465" s="69"/>
      <c r="F465" s="69"/>
      <c r="G465" s="69"/>
      <c r="H465" s="69"/>
      <c r="I465" s="69"/>
      <c r="J465" s="69"/>
      <c r="K465" s="69"/>
      <c r="L465" s="69"/>
      <c r="M465" s="69"/>
    </row>
    <row r="466" spans="2:13" x14ac:dyDescent="0.25">
      <c r="B466" s="66"/>
      <c r="C466" s="66"/>
      <c r="D466" s="52"/>
      <c r="E466" s="69"/>
      <c r="F466" s="69"/>
      <c r="G466" s="69"/>
      <c r="H466" s="69"/>
      <c r="I466" s="69"/>
      <c r="J466" s="69"/>
      <c r="K466" s="69"/>
      <c r="L466" s="69"/>
      <c r="M466" s="69"/>
    </row>
    <row r="467" spans="2:13" x14ac:dyDescent="0.25">
      <c r="B467" s="66"/>
      <c r="C467" s="66"/>
      <c r="D467" s="52"/>
      <c r="E467" s="69"/>
      <c r="F467" s="69"/>
      <c r="G467" s="69"/>
      <c r="H467" s="69"/>
      <c r="I467" s="69"/>
      <c r="J467" s="69"/>
      <c r="K467" s="69"/>
      <c r="L467" s="69"/>
      <c r="M467" s="69"/>
    </row>
    <row r="468" spans="2:13" x14ac:dyDescent="0.25">
      <c r="B468" s="66"/>
      <c r="C468" s="66"/>
      <c r="D468" s="52"/>
      <c r="E468" s="69"/>
      <c r="F468" s="69"/>
      <c r="G468" s="69"/>
      <c r="H468" s="69"/>
      <c r="I468" s="69"/>
      <c r="J468" s="69"/>
      <c r="K468" s="69"/>
      <c r="L468" s="69"/>
      <c r="M468" s="69"/>
    </row>
    <row r="469" spans="2:13" x14ac:dyDescent="0.25">
      <c r="B469" s="66"/>
      <c r="C469" s="66"/>
      <c r="D469" s="52"/>
      <c r="E469" s="69"/>
      <c r="F469" s="69"/>
      <c r="G469" s="69"/>
      <c r="H469" s="69"/>
      <c r="I469" s="69"/>
      <c r="J469" s="69"/>
      <c r="K469" s="69"/>
      <c r="L469" s="69"/>
      <c r="M469" s="69"/>
    </row>
    <row r="470" spans="2:13" x14ac:dyDescent="0.25">
      <c r="B470" s="66"/>
      <c r="C470" s="66"/>
      <c r="D470" s="52"/>
      <c r="E470" s="69"/>
      <c r="F470" s="69"/>
      <c r="G470" s="69"/>
      <c r="H470" s="69"/>
      <c r="I470" s="69"/>
      <c r="J470" s="69"/>
      <c r="K470" s="69"/>
      <c r="L470" s="69"/>
      <c r="M470" s="69"/>
    </row>
    <row r="471" spans="2:13" x14ac:dyDescent="0.25">
      <c r="B471" s="66"/>
      <c r="C471" s="66"/>
      <c r="D471" s="52"/>
      <c r="E471" s="69"/>
      <c r="F471" s="69"/>
      <c r="G471" s="69"/>
      <c r="H471" s="69"/>
      <c r="I471" s="69"/>
      <c r="J471" s="69"/>
      <c r="K471" s="69"/>
      <c r="L471" s="69"/>
      <c r="M471" s="69"/>
    </row>
    <row r="472" spans="2:13" x14ac:dyDescent="0.25">
      <c r="B472" s="66"/>
      <c r="C472" s="66"/>
      <c r="D472" s="52"/>
      <c r="E472" s="69"/>
      <c r="F472" s="69"/>
      <c r="G472" s="69"/>
      <c r="H472" s="69"/>
      <c r="I472" s="69"/>
      <c r="J472" s="69"/>
      <c r="K472" s="69"/>
      <c r="L472" s="69"/>
      <c r="M472" s="69"/>
    </row>
    <row r="473" spans="2:13" x14ac:dyDescent="0.25">
      <c r="B473" s="66"/>
      <c r="C473" s="66"/>
      <c r="D473" s="52"/>
      <c r="E473" s="69"/>
      <c r="F473" s="69"/>
      <c r="G473" s="69"/>
      <c r="H473" s="69"/>
      <c r="I473" s="69"/>
      <c r="J473" s="69"/>
      <c r="K473" s="69"/>
      <c r="L473" s="69"/>
      <c r="M473" s="69"/>
    </row>
    <row r="474" spans="2:13" x14ac:dyDescent="0.25">
      <c r="B474" s="66"/>
      <c r="C474" s="66"/>
      <c r="D474" s="52"/>
      <c r="E474" s="69"/>
      <c r="F474" s="69"/>
      <c r="G474" s="69"/>
      <c r="H474" s="69"/>
      <c r="I474" s="69"/>
      <c r="J474" s="69"/>
      <c r="K474" s="69"/>
      <c r="L474" s="69"/>
      <c r="M474" s="69"/>
    </row>
    <row r="475" spans="2:13" x14ac:dyDescent="0.25">
      <c r="B475" s="66"/>
      <c r="C475" s="66"/>
      <c r="D475" s="52"/>
      <c r="E475" s="69"/>
      <c r="F475" s="69"/>
      <c r="G475" s="69"/>
      <c r="H475" s="69"/>
      <c r="I475" s="69"/>
      <c r="J475" s="69"/>
      <c r="K475" s="69"/>
      <c r="L475" s="69"/>
      <c r="M475" s="69"/>
    </row>
    <row r="476" spans="2:13" x14ac:dyDescent="0.25">
      <c r="B476" s="66"/>
      <c r="C476" s="66"/>
      <c r="D476" s="52"/>
      <c r="E476" s="69"/>
      <c r="F476" s="69"/>
      <c r="G476" s="69"/>
      <c r="H476" s="69"/>
      <c r="I476" s="69"/>
      <c r="J476" s="69"/>
      <c r="K476" s="69"/>
      <c r="L476" s="69"/>
      <c r="M476" s="69"/>
    </row>
    <row r="477" spans="2:13" x14ac:dyDescent="0.25">
      <c r="B477" s="66"/>
      <c r="C477" s="66"/>
      <c r="D477" s="52"/>
      <c r="E477" s="69"/>
      <c r="F477" s="69"/>
      <c r="G477" s="69"/>
      <c r="H477" s="69"/>
      <c r="I477" s="69"/>
      <c r="J477" s="69"/>
      <c r="K477" s="69"/>
      <c r="L477" s="69"/>
      <c r="M477" s="69"/>
    </row>
    <row r="478" spans="2:13" x14ac:dyDescent="0.25">
      <c r="B478" s="66"/>
      <c r="C478" s="66"/>
      <c r="D478" s="52"/>
      <c r="E478" s="69"/>
      <c r="F478" s="69"/>
      <c r="G478" s="69"/>
      <c r="H478" s="69"/>
      <c r="I478" s="69"/>
      <c r="J478" s="69"/>
      <c r="K478" s="69"/>
      <c r="L478" s="69"/>
      <c r="M478" s="69"/>
    </row>
    <row r="479" spans="2:13" x14ac:dyDescent="0.25">
      <c r="B479" s="66"/>
      <c r="C479" s="66"/>
      <c r="D479" s="52"/>
      <c r="E479" s="69"/>
      <c r="F479" s="69"/>
      <c r="G479" s="69"/>
      <c r="H479" s="69"/>
      <c r="I479" s="69"/>
      <c r="J479" s="69"/>
      <c r="K479" s="69"/>
      <c r="L479" s="69"/>
      <c r="M479" s="69"/>
    </row>
    <row r="480" spans="2:13" x14ac:dyDescent="0.25">
      <c r="B480" s="66"/>
      <c r="C480" s="66"/>
      <c r="D480" s="52"/>
      <c r="E480" s="69"/>
      <c r="F480" s="69"/>
      <c r="G480" s="69"/>
      <c r="H480" s="69"/>
      <c r="I480" s="69"/>
      <c r="J480" s="69"/>
      <c r="K480" s="69"/>
      <c r="L480" s="69"/>
      <c r="M480" s="69"/>
    </row>
    <row r="481" spans="2:13" x14ac:dyDescent="0.25">
      <c r="B481" s="66"/>
      <c r="C481" s="66"/>
      <c r="D481" s="52"/>
      <c r="E481" s="69"/>
      <c r="F481" s="69"/>
      <c r="G481" s="69"/>
      <c r="H481" s="69"/>
      <c r="I481" s="69"/>
      <c r="J481" s="69"/>
      <c r="K481" s="69"/>
      <c r="L481" s="69"/>
      <c r="M481" s="69"/>
    </row>
    <row r="482" spans="2:13" x14ac:dyDescent="0.25">
      <c r="B482" s="66"/>
      <c r="C482" s="66"/>
      <c r="D482" s="52"/>
      <c r="E482" s="69"/>
      <c r="F482" s="69"/>
      <c r="G482" s="69"/>
      <c r="H482" s="69"/>
      <c r="I482" s="69"/>
      <c r="J482" s="69"/>
      <c r="K482" s="69"/>
      <c r="L482" s="69"/>
      <c r="M482" s="69"/>
    </row>
    <row r="483" spans="2:13" x14ac:dyDescent="0.25">
      <c r="B483" s="66"/>
      <c r="C483" s="66"/>
      <c r="D483" s="52"/>
      <c r="E483" s="69"/>
      <c r="F483" s="69"/>
      <c r="G483" s="69"/>
      <c r="H483" s="69"/>
      <c r="I483" s="69"/>
      <c r="J483" s="69"/>
      <c r="K483" s="69"/>
      <c r="L483" s="69"/>
      <c r="M483" s="69"/>
    </row>
    <row r="484" spans="2:13" x14ac:dyDescent="0.25">
      <c r="B484" s="66"/>
      <c r="C484" s="66"/>
      <c r="D484" s="52"/>
      <c r="E484" s="69"/>
      <c r="F484" s="69"/>
      <c r="G484" s="69"/>
      <c r="H484" s="69"/>
      <c r="I484" s="69"/>
      <c r="J484" s="69"/>
      <c r="K484" s="69"/>
      <c r="L484" s="69"/>
      <c r="M484" s="69"/>
    </row>
    <row r="485" spans="2:13" x14ac:dyDescent="0.25">
      <c r="B485" s="66"/>
      <c r="C485" s="66"/>
      <c r="D485" s="52"/>
      <c r="E485" s="69"/>
      <c r="F485" s="69"/>
      <c r="G485" s="69"/>
      <c r="H485" s="69"/>
      <c r="I485" s="69"/>
      <c r="J485" s="69"/>
      <c r="K485" s="69"/>
      <c r="L485" s="69"/>
      <c r="M485" s="69"/>
    </row>
    <row r="486" spans="2:13" x14ac:dyDescent="0.25">
      <c r="B486" s="66"/>
      <c r="C486" s="66"/>
      <c r="D486" s="52"/>
      <c r="E486" s="69"/>
      <c r="F486" s="69"/>
      <c r="G486" s="69"/>
      <c r="H486" s="69"/>
      <c r="I486" s="69"/>
      <c r="J486" s="69"/>
      <c r="K486" s="69"/>
      <c r="L486" s="69"/>
      <c r="M486" s="69"/>
    </row>
    <row r="487" spans="2:13" x14ac:dyDescent="0.25">
      <c r="B487" s="66"/>
      <c r="C487" s="66"/>
      <c r="D487" s="52"/>
      <c r="E487" s="69"/>
      <c r="F487" s="69"/>
      <c r="G487" s="69"/>
      <c r="H487" s="69"/>
      <c r="I487" s="69"/>
      <c r="J487" s="69"/>
      <c r="K487" s="69"/>
      <c r="L487" s="69"/>
      <c r="M487" s="69"/>
    </row>
    <row r="488" spans="2:13" x14ac:dyDescent="0.25">
      <c r="B488" s="66"/>
      <c r="C488" s="66"/>
      <c r="D488" s="52"/>
      <c r="E488" s="69"/>
      <c r="F488" s="69"/>
      <c r="G488" s="69"/>
      <c r="H488" s="69"/>
      <c r="I488" s="69"/>
      <c r="J488" s="69"/>
      <c r="K488" s="69"/>
      <c r="L488" s="69"/>
      <c r="M488" s="69"/>
    </row>
    <row r="489" spans="2:13" x14ac:dyDescent="0.25">
      <c r="B489" s="66"/>
      <c r="C489" s="66"/>
      <c r="D489" s="52"/>
      <c r="E489" s="69"/>
      <c r="F489" s="69"/>
      <c r="G489" s="69"/>
      <c r="H489" s="69"/>
      <c r="I489" s="69"/>
      <c r="J489" s="69"/>
      <c r="K489" s="69"/>
      <c r="L489" s="69"/>
      <c r="M489" s="69"/>
    </row>
    <row r="490" spans="2:13" x14ac:dyDescent="0.25">
      <c r="B490" s="66"/>
      <c r="C490" s="66"/>
      <c r="D490" s="52"/>
      <c r="E490" s="69"/>
      <c r="F490" s="69"/>
      <c r="G490" s="69"/>
      <c r="H490" s="69"/>
      <c r="I490" s="69"/>
      <c r="J490" s="69"/>
      <c r="K490" s="69"/>
      <c r="L490" s="69"/>
      <c r="M490" s="69"/>
    </row>
    <row r="491" spans="2:13" x14ac:dyDescent="0.25">
      <c r="B491" s="66"/>
      <c r="C491" s="66"/>
      <c r="D491" s="52"/>
      <c r="E491" s="69"/>
      <c r="F491" s="69"/>
      <c r="G491" s="69"/>
      <c r="H491" s="69"/>
      <c r="I491" s="69"/>
      <c r="J491" s="69"/>
      <c r="K491" s="69"/>
      <c r="L491" s="69"/>
      <c r="M491" s="69"/>
    </row>
    <row r="492" spans="2:13" x14ac:dyDescent="0.25">
      <c r="B492" s="66"/>
      <c r="C492" s="66"/>
      <c r="D492" s="52"/>
      <c r="E492" s="69"/>
      <c r="F492" s="69"/>
      <c r="G492" s="69"/>
      <c r="H492" s="69"/>
      <c r="I492" s="69"/>
      <c r="J492" s="69"/>
      <c r="K492" s="69"/>
      <c r="L492" s="69"/>
      <c r="M492" s="69"/>
    </row>
    <row r="493" spans="2:13" x14ac:dyDescent="0.25">
      <c r="B493" s="66"/>
      <c r="C493" s="66"/>
      <c r="D493" s="52"/>
      <c r="E493" s="69"/>
      <c r="F493" s="69"/>
      <c r="G493" s="69"/>
      <c r="H493" s="69"/>
      <c r="I493" s="69"/>
      <c r="J493" s="69"/>
      <c r="K493" s="69"/>
      <c r="L493" s="69"/>
      <c r="M493" s="69"/>
    </row>
    <row r="494" spans="2:13" x14ac:dyDescent="0.25">
      <c r="B494" s="66"/>
      <c r="C494" s="66"/>
      <c r="D494" s="52"/>
      <c r="E494" s="69"/>
      <c r="F494" s="69"/>
      <c r="G494" s="69"/>
      <c r="H494" s="69"/>
      <c r="I494" s="69"/>
      <c r="J494" s="69"/>
      <c r="K494" s="69"/>
      <c r="L494" s="69"/>
      <c r="M494" s="69"/>
    </row>
    <row r="495" spans="2:13" x14ac:dyDescent="0.25">
      <c r="B495" s="66"/>
      <c r="C495" s="66"/>
      <c r="D495" s="52"/>
      <c r="E495" s="69"/>
      <c r="F495" s="69"/>
      <c r="G495" s="69"/>
      <c r="H495" s="69"/>
      <c r="I495" s="69"/>
      <c r="J495" s="69"/>
      <c r="K495" s="69"/>
      <c r="L495" s="69"/>
      <c r="M495" s="69"/>
    </row>
    <row r="496" spans="2:13" x14ac:dyDescent="0.25">
      <c r="B496" s="66"/>
      <c r="C496" s="66"/>
      <c r="D496" s="52"/>
      <c r="E496" s="69"/>
      <c r="F496" s="69"/>
      <c r="G496" s="69"/>
      <c r="H496" s="69"/>
      <c r="I496" s="69"/>
      <c r="J496" s="69"/>
      <c r="K496" s="69"/>
      <c r="L496" s="69"/>
      <c r="M496" s="69"/>
    </row>
    <row r="497" spans="2:13" x14ac:dyDescent="0.25">
      <c r="B497" s="66"/>
      <c r="C497" s="66"/>
      <c r="D497" s="52"/>
      <c r="E497" s="69"/>
      <c r="F497" s="69"/>
      <c r="G497" s="69"/>
      <c r="H497" s="69"/>
      <c r="I497" s="69"/>
      <c r="J497" s="69"/>
      <c r="K497" s="69"/>
      <c r="L497" s="69"/>
      <c r="M497" s="69"/>
    </row>
    <row r="498" spans="2:13" x14ac:dyDescent="0.25">
      <c r="B498" s="66"/>
      <c r="C498" s="66"/>
      <c r="D498" s="52"/>
      <c r="E498" s="69"/>
      <c r="F498" s="69"/>
      <c r="G498" s="69"/>
      <c r="H498" s="69"/>
      <c r="I498" s="69"/>
      <c r="J498" s="69"/>
      <c r="K498" s="69"/>
      <c r="L498" s="69"/>
      <c r="M498" s="69"/>
    </row>
    <row r="499" spans="2:13" x14ac:dyDescent="0.25">
      <c r="B499" s="66"/>
      <c r="C499" s="66"/>
      <c r="D499" s="52"/>
      <c r="E499" s="69"/>
      <c r="F499" s="69"/>
      <c r="G499" s="69"/>
      <c r="H499" s="69"/>
      <c r="I499" s="69"/>
      <c r="J499" s="69"/>
      <c r="K499" s="69"/>
      <c r="L499" s="69"/>
      <c r="M499" s="69"/>
    </row>
    <row r="500" spans="2:13" x14ac:dyDescent="0.25">
      <c r="B500" s="66"/>
      <c r="C500" s="66"/>
      <c r="D500" s="52"/>
      <c r="E500" s="69"/>
      <c r="F500" s="69"/>
      <c r="G500" s="69"/>
      <c r="H500" s="69"/>
      <c r="I500" s="69"/>
      <c r="J500" s="69"/>
      <c r="K500" s="69"/>
      <c r="L500" s="69"/>
      <c r="M500" s="69"/>
    </row>
    <row r="501" spans="2:13" x14ac:dyDescent="0.25">
      <c r="B501" s="66"/>
      <c r="C501" s="66"/>
      <c r="D501" s="52"/>
      <c r="E501" s="69"/>
      <c r="F501" s="69"/>
      <c r="G501" s="69"/>
      <c r="H501" s="69"/>
      <c r="I501" s="69"/>
      <c r="J501" s="69"/>
      <c r="K501" s="69"/>
      <c r="L501" s="69"/>
      <c r="M501" s="69"/>
    </row>
    <row r="502" spans="2:13" x14ac:dyDescent="0.25">
      <c r="B502" s="66"/>
      <c r="C502" s="66"/>
      <c r="D502" s="52"/>
      <c r="E502" s="69"/>
      <c r="F502" s="69"/>
      <c r="G502" s="69"/>
      <c r="H502" s="69"/>
      <c r="I502" s="69"/>
      <c r="J502" s="69"/>
      <c r="K502" s="69"/>
      <c r="L502" s="69"/>
      <c r="M502" s="69"/>
    </row>
    <row r="503" spans="2:13" x14ac:dyDescent="0.25">
      <c r="B503" s="66"/>
      <c r="C503" s="66"/>
      <c r="D503" s="52"/>
      <c r="E503" s="69"/>
      <c r="F503" s="69"/>
      <c r="G503" s="69"/>
      <c r="H503" s="69"/>
      <c r="I503" s="69"/>
      <c r="J503" s="69"/>
      <c r="K503" s="69"/>
      <c r="L503" s="69"/>
      <c r="M503" s="69"/>
    </row>
    <row r="504" spans="2:13" x14ac:dyDescent="0.25">
      <c r="B504" s="66"/>
      <c r="C504" s="66"/>
      <c r="D504" s="52"/>
      <c r="E504" s="69"/>
      <c r="F504" s="69"/>
      <c r="G504" s="69"/>
      <c r="H504" s="69"/>
      <c r="I504" s="69"/>
      <c r="J504" s="69"/>
      <c r="K504" s="69"/>
      <c r="L504" s="69"/>
      <c r="M504" s="69"/>
    </row>
    <row r="505" spans="2:13" x14ac:dyDescent="0.25">
      <c r="B505" s="66"/>
      <c r="C505" s="66"/>
      <c r="D505" s="52"/>
      <c r="E505" s="69"/>
      <c r="F505" s="69"/>
      <c r="G505" s="69"/>
      <c r="H505" s="69"/>
      <c r="I505" s="69"/>
      <c r="J505" s="69"/>
      <c r="K505" s="69"/>
      <c r="L505" s="69"/>
      <c r="M505" s="69"/>
    </row>
    <row r="506" spans="2:13" x14ac:dyDescent="0.25">
      <c r="B506" s="66"/>
      <c r="C506" s="66"/>
      <c r="D506" s="52"/>
      <c r="E506" s="69"/>
      <c r="F506" s="69"/>
      <c r="G506" s="69"/>
      <c r="H506" s="69"/>
      <c r="I506" s="69"/>
      <c r="J506" s="69"/>
      <c r="K506" s="69"/>
      <c r="L506" s="69"/>
      <c r="M506" s="69"/>
    </row>
    <row r="507" spans="2:13" x14ac:dyDescent="0.25">
      <c r="B507" s="66"/>
      <c r="C507" s="66"/>
      <c r="D507" s="52"/>
      <c r="E507" s="69"/>
      <c r="F507" s="69"/>
      <c r="G507" s="69"/>
      <c r="H507" s="69"/>
      <c r="I507" s="69"/>
      <c r="J507" s="69"/>
      <c r="K507" s="69"/>
      <c r="L507" s="69"/>
      <c r="M507" s="69"/>
    </row>
    <row r="508" spans="2:13" x14ac:dyDescent="0.25">
      <c r="B508" s="66"/>
      <c r="C508" s="66"/>
      <c r="D508" s="52"/>
      <c r="E508" s="69"/>
      <c r="F508" s="69"/>
      <c r="G508" s="69"/>
      <c r="H508" s="69"/>
      <c r="I508" s="69"/>
      <c r="J508" s="69"/>
      <c r="K508" s="69"/>
      <c r="L508" s="69"/>
      <c r="M508" s="69"/>
    </row>
    <row r="509" spans="2:13" x14ac:dyDescent="0.25">
      <c r="B509" s="66"/>
      <c r="C509" s="66"/>
      <c r="D509" s="52"/>
      <c r="E509" s="69"/>
      <c r="F509" s="69"/>
      <c r="G509" s="69"/>
      <c r="H509" s="69"/>
      <c r="I509" s="69"/>
      <c r="J509" s="69"/>
      <c r="K509" s="69"/>
      <c r="L509" s="69"/>
      <c r="M509" s="69"/>
    </row>
    <row r="510" spans="2:13" x14ac:dyDescent="0.25">
      <c r="B510" s="66"/>
      <c r="C510" s="66"/>
      <c r="D510" s="52"/>
      <c r="E510" s="69"/>
      <c r="F510" s="69"/>
      <c r="G510" s="69"/>
      <c r="H510" s="69"/>
      <c r="I510" s="69"/>
      <c r="J510" s="69"/>
      <c r="K510" s="69"/>
      <c r="L510" s="69"/>
      <c r="M510" s="69"/>
    </row>
    <row r="511" spans="2:13" x14ac:dyDescent="0.25">
      <c r="B511" s="66"/>
      <c r="C511" s="66"/>
      <c r="D511" s="52"/>
      <c r="E511" s="69"/>
      <c r="F511" s="69"/>
      <c r="G511" s="69"/>
      <c r="H511" s="69"/>
      <c r="I511" s="69"/>
      <c r="J511" s="69"/>
      <c r="K511" s="69"/>
      <c r="L511" s="69"/>
      <c r="M511" s="69"/>
    </row>
    <row r="512" spans="2:13" x14ac:dyDescent="0.25">
      <c r="B512" s="66"/>
      <c r="C512" s="66"/>
      <c r="D512" s="52"/>
      <c r="E512" s="69"/>
      <c r="F512" s="69"/>
      <c r="G512" s="69"/>
      <c r="H512" s="69"/>
      <c r="I512" s="69"/>
      <c r="J512" s="69"/>
      <c r="K512" s="69"/>
      <c r="L512" s="69"/>
      <c r="M512" s="69"/>
    </row>
    <row r="513" spans="2:13" x14ac:dyDescent="0.25">
      <c r="B513" s="66"/>
      <c r="C513" s="66"/>
      <c r="D513" s="52"/>
      <c r="E513" s="69"/>
      <c r="F513" s="69"/>
      <c r="G513" s="69"/>
      <c r="H513" s="69"/>
      <c r="I513" s="69"/>
      <c r="J513" s="69"/>
      <c r="K513" s="69"/>
      <c r="L513" s="69"/>
      <c r="M513" s="69"/>
    </row>
    <row r="514" spans="2:13" x14ac:dyDescent="0.25">
      <c r="B514" s="66"/>
      <c r="C514" s="66"/>
      <c r="D514" s="52"/>
      <c r="E514" s="69"/>
      <c r="F514" s="69"/>
      <c r="G514" s="69"/>
      <c r="H514" s="69"/>
      <c r="I514" s="69"/>
      <c r="J514" s="69"/>
      <c r="K514" s="69"/>
      <c r="L514" s="69"/>
      <c r="M514" s="69"/>
    </row>
    <row r="515" spans="2:13" x14ac:dyDescent="0.25">
      <c r="B515" s="66"/>
      <c r="C515" s="66"/>
      <c r="D515" s="52"/>
      <c r="E515" s="69"/>
      <c r="F515" s="69"/>
      <c r="G515" s="69"/>
      <c r="H515" s="69"/>
      <c r="I515" s="69"/>
      <c r="J515" s="69"/>
      <c r="K515" s="69"/>
      <c r="L515" s="69"/>
      <c r="M515" s="69"/>
    </row>
    <row r="516" spans="2:13" x14ac:dyDescent="0.25">
      <c r="B516" s="66"/>
      <c r="C516" s="66"/>
      <c r="D516" s="52"/>
      <c r="E516" s="69"/>
      <c r="F516" s="69"/>
      <c r="G516" s="69"/>
      <c r="H516" s="69"/>
      <c r="I516" s="69"/>
      <c r="J516" s="69"/>
      <c r="K516" s="69"/>
      <c r="L516" s="69"/>
      <c r="M516" s="69"/>
    </row>
    <row r="517" spans="2:13" x14ac:dyDescent="0.25">
      <c r="B517" s="66"/>
      <c r="C517" s="66"/>
      <c r="D517" s="52"/>
      <c r="E517" s="69"/>
      <c r="F517" s="69"/>
      <c r="G517" s="69"/>
      <c r="H517" s="69"/>
      <c r="I517" s="69"/>
      <c r="J517" s="69"/>
      <c r="K517" s="69"/>
      <c r="L517" s="69"/>
      <c r="M517" s="69"/>
    </row>
    <row r="518" spans="2:13" x14ac:dyDescent="0.25">
      <c r="B518" s="66"/>
      <c r="C518" s="66"/>
      <c r="D518" s="52"/>
      <c r="E518" s="69"/>
      <c r="F518" s="69"/>
      <c r="G518" s="69"/>
      <c r="H518" s="69"/>
      <c r="I518" s="69"/>
      <c r="J518" s="69"/>
      <c r="K518" s="69"/>
      <c r="L518" s="69"/>
      <c r="M518" s="69"/>
    </row>
    <row r="519" spans="2:13" x14ac:dyDescent="0.25">
      <c r="B519" s="66"/>
      <c r="C519" s="66"/>
      <c r="D519" s="52"/>
      <c r="E519" s="69"/>
      <c r="F519" s="69"/>
      <c r="G519" s="69"/>
      <c r="H519" s="69"/>
      <c r="I519" s="69"/>
      <c r="J519" s="69"/>
      <c r="K519" s="69"/>
      <c r="L519" s="69"/>
      <c r="M519" s="69"/>
    </row>
    <row r="520" spans="2:13" x14ac:dyDescent="0.25">
      <c r="B520" s="66"/>
      <c r="C520" s="66"/>
      <c r="D520" s="52"/>
      <c r="E520" s="69"/>
      <c r="F520" s="69"/>
      <c r="G520" s="69"/>
      <c r="H520" s="69"/>
      <c r="I520" s="69"/>
      <c r="J520" s="69"/>
      <c r="K520" s="69"/>
      <c r="L520" s="69"/>
      <c r="M520" s="69"/>
    </row>
    <row r="521" spans="2:13" x14ac:dyDescent="0.25">
      <c r="B521" s="66"/>
      <c r="C521" s="66"/>
      <c r="D521" s="52"/>
      <c r="E521" s="69"/>
      <c r="F521" s="69"/>
      <c r="G521" s="69"/>
      <c r="H521" s="69"/>
      <c r="I521" s="69"/>
      <c r="J521" s="69"/>
      <c r="K521" s="69"/>
      <c r="L521" s="69"/>
      <c r="M521" s="69"/>
    </row>
    <row r="522" spans="2:13" x14ac:dyDescent="0.25">
      <c r="B522" s="66"/>
      <c r="C522" s="66"/>
      <c r="D522" s="52"/>
      <c r="E522" s="69"/>
      <c r="F522" s="69"/>
      <c r="G522" s="69"/>
      <c r="H522" s="69"/>
      <c r="I522" s="69"/>
      <c r="J522" s="69"/>
      <c r="K522" s="69"/>
      <c r="L522" s="69"/>
      <c r="M522" s="69"/>
    </row>
    <row r="523" spans="2:13" x14ac:dyDescent="0.25">
      <c r="B523" s="66"/>
      <c r="C523" s="66"/>
      <c r="D523" s="52"/>
      <c r="E523" s="69"/>
      <c r="F523" s="69"/>
      <c r="G523" s="69"/>
      <c r="H523" s="69"/>
      <c r="I523" s="69"/>
      <c r="J523" s="69"/>
      <c r="K523" s="69"/>
      <c r="L523" s="69"/>
      <c r="M523" s="69"/>
    </row>
    <row r="524" spans="2:13" x14ac:dyDescent="0.25">
      <c r="B524" s="66"/>
      <c r="C524" s="66"/>
      <c r="D524" s="52"/>
      <c r="E524" s="69"/>
      <c r="F524" s="69"/>
      <c r="G524" s="69"/>
      <c r="H524" s="69"/>
      <c r="I524" s="69"/>
      <c r="J524" s="69"/>
      <c r="K524" s="69"/>
      <c r="L524" s="69"/>
      <c r="M524" s="69"/>
    </row>
  </sheetData>
  <sheetProtection sheet="1" objects="1" scenarios="1" deleteColumns="0"/>
  <mergeCells count="12">
    <mergeCell ref="B21:B22"/>
    <mergeCell ref="B10:B11"/>
    <mergeCell ref="B12:B13"/>
    <mergeCell ref="B15:B16"/>
    <mergeCell ref="B17:B18"/>
    <mergeCell ref="B19:B20"/>
    <mergeCell ref="A84:A90"/>
    <mergeCell ref="A91:A94"/>
    <mergeCell ref="A95:A97"/>
    <mergeCell ref="A98:A103"/>
    <mergeCell ref="A2:A7"/>
    <mergeCell ref="A9:A22"/>
  </mergeCells>
  <conditionalFormatting sqref="B7">
    <cfRule type="expression" dxfId="1" priority="4">
      <formula>MOD(DTKA_FEC_Q,DTKA_FEC_OVERLAP+1)&lt;&gt;0</formula>
    </cfRule>
  </conditionalFormatting>
  <conditionalFormatting sqref="B4">
    <cfRule type="expression" dxfId="0" priority="3">
      <formula>MOD(DTKA_FEC_M,DTKA_NUM_AUTHS)&lt;&gt;0</formula>
    </cfRule>
  </conditionalFormatting>
  <conditionalFormatting sqref="D17:XFD17">
    <cfRule type="colorScale" priority="5">
      <colorScale>
        <cfvo type="min"/>
        <cfvo type="percentile" val="50"/>
        <cfvo type="max"/>
        <color rgb="FFF8696B"/>
        <color rgb="FFFFEB84"/>
        <color rgb="FF63BE7B"/>
      </colorScale>
    </cfRule>
  </conditionalFormatting>
  <conditionalFormatting sqref="D18:XFD18">
    <cfRule type="colorScale" priority="6">
      <colorScale>
        <cfvo type="min"/>
        <cfvo type="percentile" val="50"/>
        <cfvo type="max"/>
        <color rgb="FFF8696B"/>
        <color rgb="FFFFEB84"/>
        <color rgb="FF63BE7B"/>
      </colorScale>
    </cfRule>
  </conditionalFormatting>
  <conditionalFormatting sqref="D19:XFD19">
    <cfRule type="colorScale" priority="7">
      <colorScale>
        <cfvo type="min"/>
        <cfvo type="percentile" val="50"/>
        <cfvo type="max"/>
        <color rgb="FFF8696B"/>
        <color rgb="FFFFEB84"/>
        <color rgb="FF63BE7B"/>
      </colorScale>
    </cfRule>
  </conditionalFormatting>
  <conditionalFormatting sqref="D20:XFD20">
    <cfRule type="colorScale" priority="8">
      <colorScale>
        <cfvo type="min"/>
        <cfvo type="percentile" val="50"/>
        <cfvo type="max"/>
        <color rgb="FFF8696B"/>
        <color rgb="FFFFEB84"/>
        <color rgb="FF63BE7B"/>
      </colorScale>
    </cfRule>
  </conditionalFormatting>
  <conditionalFormatting sqref="D21:XFD21">
    <cfRule type="colorScale" priority="9">
      <colorScale>
        <cfvo type="min"/>
        <cfvo type="percentile" val="50"/>
        <cfvo type="max"/>
        <color rgb="FFF8696B"/>
        <color rgb="FFFFEB84"/>
        <color rgb="FF63BE7B"/>
      </colorScale>
    </cfRule>
  </conditionalFormatting>
  <conditionalFormatting sqref="D22:XFD22">
    <cfRule type="colorScale" priority="10">
      <colorScale>
        <cfvo type="min"/>
        <cfvo type="percentile" val="50"/>
        <cfvo type="max"/>
        <color rgb="FFF8696B"/>
        <color rgb="FFFFEB84"/>
        <color rgb="FF63BE7B"/>
      </colorScale>
    </cfRule>
  </conditionalFormatting>
  <conditionalFormatting sqref="D103:XFD103">
    <cfRule type="colorScale" priority="1">
      <colorScale>
        <cfvo type="min"/>
        <cfvo type="percentile" val="50"/>
        <cfvo type="max"/>
        <color rgb="FF63BE7B"/>
        <color rgb="FFFFEB84"/>
        <color rgb="FFF8696B"/>
      </colorScale>
    </cfRule>
  </conditionalFormatting>
  <pageMargins left="0.7" right="0.7" top="0.75" bottom="0.75" header="0.3" footer="0.3"/>
  <pageSetup paperSize="9" orientation="portrait" horizontalDpi="0" verticalDpi="0"/>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31</vt:i4>
      </vt:variant>
    </vt:vector>
  </HeadingPairs>
  <TitlesOfParts>
    <vt:vector size="35" baseType="lpstr">
      <vt:lpstr>VALUES</vt:lpstr>
      <vt:lpstr>CONFIGURATION + EVALUATION</vt:lpstr>
      <vt:lpstr>VISUALIZATION</vt:lpstr>
      <vt:lpstr>COMPARE</vt:lpstr>
      <vt:lpstr>BLOCK_SIZE</vt:lpstr>
      <vt:lpstr>CODE_RATE</vt:lpstr>
      <vt:lpstr>COMPILATION_INTERVAL</vt:lpstr>
      <vt:lpstr>COMPILATION_INTERVAL_TYPE</vt:lpstr>
      <vt:lpstr>COMPROMISING_TOLERANCE</vt:lpstr>
      <vt:lpstr>COMPROMISING_TOLERANCE_PER</vt:lpstr>
      <vt:lpstr>DTKA_FEC_K</vt:lpstr>
      <vt:lpstr>DTKA_FEC_M</vt:lpstr>
      <vt:lpstr>DTKA_FEC_M_PARITY</vt:lpstr>
      <vt:lpstr>DTKA_FEC_M_TYPE</vt:lpstr>
      <vt:lpstr>DTKA_FEC_N</vt:lpstr>
      <vt:lpstr>DTKA_FEC_OVERLAP</vt:lpstr>
      <vt:lpstr>DTKA_FEC_Q</vt:lpstr>
      <vt:lpstr>DTKA_NUM_AUTHS</vt:lpstr>
      <vt:lpstr>DTKA_SHARE_BACKUP</vt:lpstr>
      <vt:lpstr>EVALUATION_RESULT</vt:lpstr>
      <vt:lpstr>FAILING_NODES</vt:lpstr>
      <vt:lpstr>FAILING_NODES_BEST</vt:lpstr>
      <vt:lpstr>FAILING_TOLERANCE_BEST_PER</vt:lpstr>
      <vt:lpstr>FAILING_TOLERANCE_PER</vt:lpstr>
      <vt:lpstr>KEY_GEN_INTERVAL</vt:lpstr>
      <vt:lpstr>KEY_GEN_INTERVAL_TYPE</vt:lpstr>
      <vt:lpstr>KEY_SIZE</vt:lpstr>
      <vt:lpstr>NOT_DISTRIBUTED</vt:lpstr>
      <vt:lpstr>PARAMETER</vt:lpstr>
      <vt:lpstr>PAYLOAD</vt:lpstr>
      <vt:lpstr>RECORD_SIZE</vt:lpstr>
      <vt:lpstr>SIZE</vt:lpstr>
      <vt:lpstr>SYSTEM</vt:lpstr>
      <vt:lpstr>SYSTEN</vt:lpstr>
      <vt:lpstr>USER_NODES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Stadler Michael</dc:creator>
  <cp:lastModifiedBy>Burleigh, Scott C (312B)</cp:lastModifiedBy>
  <cp:lastPrinted>2017-07-10T23:06:24Z</cp:lastPrinted>
  <dcterms:created xsi:type="dcterms:W3CDTF">2017-07-07T15:22:42Z</dcterms:created>
  <dcterms:modified xsi:type="dcterms:W3CDTF">2017-11-01T21:41:03Z</dcterms:modified>
</cp:coreProperties>
</file>