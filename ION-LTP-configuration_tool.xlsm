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176428E6-CC11-C334-683E-B6102A28F97D}"/>
  <workbookPr codeName="ThisWorkbook"/>
  <mc:AlternateContent xmlns:mc="http://schemas.openxmlformats.org/markup-compatibility/2006">
    <mc:Choice Requires="x15">
      <x15ac:absPath xmlns:x15ac="http://schemas.microsoft.com/office/spreadsheetml/2010/11/ac" url="https://jpl365prod-my.sharepoint.com/personal/jay_l_gao_jpl_nasa_gov/Documents/ION Dev/working-document/"/>
    </mc:Choice>
  </mc:AlternateContent>
  <xr:revisionPtr revIDLastSave="91" documentId="13_ncr:1_{D1EBD4F9-2B91-9943-8F5C-6301B1F99613}" xr6:coauthVersionLast="47" xr6:coauthVersionMax="47" xr10:uidLastSave="{B72F51C6-774D-44BF-8CAB-4C965DC201B2}"/>
  <bookViews>
    <workbookView xWindow="4875" yWindow="735" windowWidth="20625" windowHeight="13965" tabRatio="994" activeTab="3" xr2:uid="{00000000-000D-0000-FFFF-FFFF00000000}"/>
  </bookViews>
  <sheets>
    <sheet name="Intro" sheetId="1" r:id="rId1"/>
    <sheet name="Version History" sheetId="2" r:id="rId2"/>
    <sheet name="Link" sheetId="4" r:id="rId3"/>
    <sheet name="Main" sheetId="3" r:id="rId4"/>
  </sheets>
  <definedNames>
    <definedName name="__xlfn_FLOOR_MATH">NA()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1" i="3" l="1"/>
  <c r="H30" i="3"/>
  <c r="H29" i="3"/>
  <c r="D53" i="3"/>
  <c r="H3" i="3"/>
  <c r="C22" i="3"/>
  <c r="C45" i="3" s="1"/>
  <c r="C31" i="3"/>
  <c r="H40" i="3" s="1"/>
  <c r="D22" i="3"/>
  <c r="D27" i="3" s="1"/>
  <c r="D31" i="3"/>
  <c r="J40" i="3" s="1"/>
  <c r="D18" i="3"/>
  <c r="D19" i="3" s="1"/>
  <c r="C14" i="3" s="1"/>
  <c r="C18" i="3"/>
  <c r="C19" i="3" s="1"/>
  <c r="D14" i="3" s="1"/>
  <c r="C4" i="4"/>
  <c r="H37" i="3"/>
  <c r="D4" i="4"/>
  <c r="C50" i="3"/>
  <c r="H8" i="3"/>
  <c r="H7" i="3"/>
  <c r="C25" i="3"/>
  <c r="D25" i="3"/>
  <c r="J37" i="3"/>
  <c r="H38" i="3"/>
  <c r="J38" i="3"/>
  <c r="H41" i="3"/>
  <c r="J41" i="3"/>
  <c r="H43" i="3"/>
  <c r="J43" i="3"/>
  <c r="J44" i="3"/>
  <c r="D50" i="3"/>
  <c r="D8" i="4"/>
  <c r="C8" i="4"/>
  <c r="C9" i="4"/>
  <c r="D10" i="4"/>
  <c r="H44" i="3" l="1"/>
  <c r="H14" i="3"/>
  <c r="H12" i="3"/>
  <c r="H11" i="3"/>
  <c r="H13" i="3"/>
  <c r="D28" i="3"/>
  <c r="D32" i="3"/>
  <c r="C51" i="3"/>
  <c r="D45" i="3"/>
  <c r="D43" i="3" s="1"/>
  <c r="D29" i="3"/>
  <c r="C27" i="3"/>
  <c r="C3" i="3"/>
  <c r="C34" i="3" s="1"/>
  <c r="C10" i="4"/>
  <c r="D9" i="4"/>
  <c r="J42" i="3" l="1"/>
  <c r="H42" i="3"/>
  <c r="C28" i="3"/>
  <c r="C46" i="3"/>
  <c r="C29" i="3"/>
  <c r="C32" i="3"/>
  <c r="D51" i="3"/>
  <c r="D57" i="3"/>
  <c r="D33" i="3"/>
  <c r="D55" i="3"/>
  <c r="D56" i="3" s="1"/>
  <c r="C43" i="3"/>
  <c r="D46" i="3"/>
  <c r="H10" i="3"/>
  <c r="D34" i="3"/>
  <c r="C40" i="3"/>
  <c r="H17" i="3" l="1"/>
  <c r="H15" i="3"/>
  <c r="D35" i="3"/>
  <c r="D36" i="3" s="1"/>
  <c r="D37" i="3" s="1"/>
  <c r="D38" i="3" s="1"/>
  <c r="D47" i="3"/>
  <c r="H20" i="3" s="1"/>
  <c r="D48" i="3"/>
  <c r="C58" i="3"/>
  <c r="C57" i="3"/>
  <c r="H9" i="3"/>
  <c r="C55" i="3"/>
  <c r="C56" i="3" s="1"/>
  <c r="C33" i="3"/>
  <c r="C35" i="3" s="1"/>
  <c r="C36" i="3" s="1"/>
  <c r="C37" i="3" s="1"/>
  <c r="C38" i="3" s="1"/>
  <c r="C47" i="3"/>
  <c r="H19" i="3" s="1"/>
  <c r="C48" i="3"/>
  <c r="D40" i="3"/>
  <c r="H16" i="3" l="1"/>
  <c r="H18" i="3"/>
  <c r="D58" i="3"/>
  <c r="D59" i="3" s="1"/>
  <c r="C59" i="3"/>
  <c r="C62" i="3" l="1"/>
  <c r="C64" i="3" s="1"/>
  <c r="C60" i="3"/>
  <c r="D62" i="3"/>
  <c r="D60" i="3"/>
  <c r="D63" i="3" l="1"/>
  <c r="D64" i="3"/>
  <c r="C63" i="3"/>
</calcChain>
</file>

<file path=xl/sharedStrings.xml><?xml version="1.0" encoding="utf-8"?>
<sst xmlns="http://schemas.openxmlformats.org/spreadsheetml/2006/main" count="196" uniqueCount="165">
  <si>
    <t>ION LTP Configuration Helper</t>
  </si>
  <si>
    <t>Usage Tips:</t>
  </si>
  <si>
    <t>1. Enter data into yellow cells</t>
  </si>
  <si>
    <t>Jet Propulsion Laboratory, California Institute of Technology</t>
  </si>
  <si>
    <t>This research was carried out at the Jet Propulsion Laboratory, California Institute of Technology, under a contract with the National Aeronautics and Space Administration.</t>
  </si>
  <si>
    <t>(c) 2016 California Institute of Technology. Government sponsorship acknowledged.</t>
  </si>
  <si>
    <t>Date</t>
  </si>
  <si>
    <t>Who</t>
  </si>
  <si>
    <t>Version</t>
  </si>
  <si>
    <t>Change</t>
  </si>
  <si>
    <t>N.Ansell</t>
  </si>
  <si>
    <t>Initial version</t>
  </si>
  <si>
    <t>N. Ansell</t>
  </si>
  <si>
    <t>Reduced range time to 1sec for self to self connection</t>
  </si>
  <si>
    <t>Updated max tx &amp; rx values for span auto creation</t>
  </si>
  <si>
    <t>Changed year of copyright to 2016</t>
  </si>
  <si>
    <t>Corrected engine numbers in span auto conf lines</t>
  </si>
  <si>
    <t>Set max value for "max export sessions" to 256 - based on msg in ion log when set to 6667 (Total max export sessions exceeds estimate.  Session lookup speed may be degraded: -6411)</t>
  </si>
  <si>
    <t>Other minor tweeks to autogen of conf files</t>
  </si>
  <si>
    <t>Changed the 'a contact' to bytes per second</t>
  </si>
  <si>
    <t>Added warnings section</t>
  </si>
  <si>
    <t>Rounded up some large decimals to zero places where not needed</t>
  </si>
  <si>
    <t>OWLT between nodes (sec)</t>
  </si>
  <si>
    <t>OWLT (sec)</t>
  </si>
  <si>
    <t>Expected (mean) bit error rate (assumed symmetrical)</t>
  </si>
  <si>
    <t>Distance (km)</t>
  </si>
  <si>
    <t>Engine Number</t>
  </si>
  <si>
    <t>Node IP</t>
  </si>
  <si>
    <t>10.0.0.1</t>
  </si>
  <si>
    <t>10.0.1.3</t>
  </si>
  <si>
    <t>Node listener port</t>
  </si>
  <si>
    <t>Size (mean) of service data units (bytes)</t>
  </si>
  <si>
    <t>Link service overhead</t>
  </si>
  <si>
    <t>Aggregation size limit (bytes)</t>
  </si>
  <si>
    <t>Cell Guide</t>
  </si>
  <si>
    <t>Input Cell</t>
  </si>
  <si>
    <t>Calculated Cell</t>
  </si>
  <si>
    <t>Scheduled xmit rate (bytes/sec)</t>
  </si>
  <si>
    <t>Config file parameter</t>
  </si>
  <si>
    <t>Figure of Merit</t>
  </si>
  <si>
    <t>Est. % of data requiring acks (red)</t>
  </si>
  <si>
    <t>Aggregation time limit (sec)</t>
  </si>
  <si>
    <t>Max data aggregation latency (sec)</t>
  </si>
  <si>
    <t>Est. mean export block size</t>
  </si>
  <si>
    <t>Est. blocks transmitted per second</t>
  </si>
  <si>
    <t>Est. segments per block</t>
  </si>
  <si>
    <t>Est. segments transmitted per second</t>
  </si>
  <si>
    <t>Est. segment loss rate</t>
  </si>
  <si>
    <t>Est. segments lost per second</t>
  </si>
  <si>
    <t>Est. segments delivered per second</t>
  </si>
  <si>
    <t>Est. blocks delivered per second</t>
  </si>
  <si>
    <t>Est. LTP delivery efficiency (%)</t>
  </si>
  <si>
    <t>Maximum export data in transit (bytes)</t>
  </si>
  <si>
    <t>Nominal export data in transit (bytes)</t>
  </si>
  <si>
    <t>Expected link utilization</t>
  </si>
  <si>
    <t>Nominal segments per import session</t>
  </si>
  <si>
    <t>Est. red data xmit rate (bytes/sec)</t>
  </si>
  <si>
    <t>Updated tooltips</t>
  </si>
  <si>
    <t>Updated formatting on title and input/calc cells to accommodate orthoganal possibilities</t>
  </si>
  <si>
    <t>Removed BER calculator</t>
  </si>
  <si>
    <t>Set min value to export sessions to 1</t>
  </si>
  <si>
    <t>Set min value of Est Segments per block to 1</t>
  </si>
  <si>
    <t>Added udpclo metering to config file</t>
  </si>
  <si>
    <t>4. Example ion configuration files are automatically created</t>
  </si>
  <si>
    <t>Warnings/Info</t>
  </si>
  <si>
    <t>Updated help text on lines 10 and 11 to clarify the contact start/end are relative to the time the ionrc file is processed - normally during the starting of ION services on a node</t>
  </si>
  <si>
    <t>Updated help text on line 12 to make it clear this is the mean size of service data units presented by the client</t>
  </si>
  <si>
    <t>Updated help text on line 13 to make it clear this is the overhead imposed by the link layer protocol underneath LTP</t>
  </si>
  <si>
    <t>Updated help text on line 15 "Larger blocks are more CPU efficient, but increase the likelihood of loss per LTP block in high loss situations"</t>
  </si>
  <si>
    <t>Updated help text on line 48 "Estimated link utilization, factoring in the bandwidth delay product. 100% indicates the most optimal use of available bandwidth and operational time slot"</t>
  </si>
  <si>
    <t>2. Calculated data appears in light grey cells</t>
  </si>
  <si>
    <t>3. Additional information is available by selecting the appropriate title cell (e.g. green or dark grey cells)</t>
  </si>
  <si>
    <t>Minor updates to Intro sheet</t>
  </si>
  <si>
    <t>Node X</t>
  </si>
  <si>
    <t>Node Y</t>
  </si>
  <si>
    <t>Max number of export sessions</t>
  </si>
  <si>
    <t>Max number of import sessions</t>
  </si>
  <si>
    <t>Size (mean) of LTP report segment (bytes)</t>
  </si>
  <si>
    <t>Suggested value</t>
  </si>
  <si>
    <t>Max % of channel allocated to LTP reports</t>
  </si>
  <si>
    <t>Est. report bytes/sec sent</t>
  </si>
  <si>
    <t>OWLT calculator:</t>
  </si>
  <si>
    <t>Locked grey cells and added parameter numbers to match the supporting guide.</t>
  </si>
  <si>
    <t>J. Gao</t>
  </si>
  <si>
    <t>Standard CCSDS Frame Size (bits)</t>
  </si>
  <si>
    <t>CCSDS Frame Size (bytes)</t>
  </si>
  <si>
    <t>Select CCSDS Frame Size (bits)</t>
  </si>
  <si>
    <t>CCSDS Space Link Parameters</t>
  </si>
  <si>
    <t>Add conditional checkmarks for setting aggregation size (6) and aggregation time limit(10) and final export block size computation (15)</t>
  </si>
  <si>
    <t>x</t>
  </si>
  <si>
    <t>Turbo: rate =1/2, 1/3, 1/4, 1/6</t>
  </si>
  <si>
    <t>Add "Link" sheet of CCSDS link design parameters</t>
  </si>
  <si>
    <t>Add segment size selection table</t>
  </si>
  <si>
    <t>2.0</t>
  </si>
  <si>
    <t>Reference</t>
  </si>
  <si>
    <t>* This depends specific requirement/design of a mission</t>
  </si>
  <si>
    <t>CCSDS RS Code Frame Length</t>
  </si>
  <si>
    <t>LTP segment"payload" size (bytes)</t>
  </si>
  <si>
    <t xml:space="preserve">maxBER Computation </t>
  </si>
  <si>
    <t>Ethernet Error Rate Computation</t>
  </si>
  <si>
    <t>To write macros: Property-&gt;Ribbon-&gt;select "Developer"</t>
  </si>
  <si>
    <t>https://www.goskills.com/Excel/Resources/Excel-user-defined-function-examples</t>
  </si>
  <si>
    <t>Segment Size (byte)</t>
  </si>
  <si>
    <t>Ethernet Frame Size (Byte)</t>
  </si>
  <si>
    <t>&lt;- this should be approximately the same as the segment error rate computed in the "link" sheet</t>
  </si>
  <si>
    <t>Nominal number of export SDUs in transit</t>
  </si>
  <si>
    <t>&lt;- C is for Y-&gt;X; D is for X-&gt;Y</t>
  </si>
  <si>
    <t>&lt;- adjust for desired link utilization</t>
  </si>
  <si>
    <t>X-&gt;Y</t>
  </si>
  <si>
    <t>Y-&gt;X</t>
  </si>
  <si>
    <t xml:space="preserve">Added VBA functions to compute segment error rate, convert to maxBER and Ethernet error rate </t>
  </si>
  <si>
    <t>Switched to xlsm format (as macro-enabled) excel sheet to enable VBA macro</t>
  </si>
  <si>
    <t xml:space="preserve">Add conditional checkmarks for report bytes/sent; LTP computations for X-&gt;Y session </t>
  </si>
  <si>
    <t>Max rate bytes/sec availabel for report transmission</t>
  </si>
  <si>
    <t>Desired Frame Error Rate*</t>
  </si>
  <si>
    <t>* for Wide Area Network loss simulator use</t>
  </si>
  <si>
    <t>Max number of reports per second supportable</t>
  </si>
  <si>
    <t>Initial value assumes zero retransmission  LTP session.</t>
  </si>
  <si>
    <t>RS+CC</t>
  </si>
  <si>
    <t>Segment Error Rate Computation</t>
  </si>
  <si>
    <t>Add warning/info about max export session that produces less than 90% utilization, check calculation accuracy</t>
  </si>
  <si>
    <t>Complete LTP confirmation for both X-&gt;Y and Y-&gt;X directions</t>
  </si>
  <si>
    <t>incorporates 95 percentile retransmssion</t>
  </si>
  <si>
    <t>Update for 95 percentile retransmission probability</t>
  </si>
  <si>
    <t>limited by max export session parameter</t>
  </si>
  <si>
    <t>(32/64) bits system</t>
  </si>
  <si>
    <t>1 contact worth of data (bytes)</t>
  </si>
  <si>
    <t>Additional Margin</t>
  </si>
  <si>
    <t>Added heapword estimate</t>
  </si>
  <si>
    <t>Total ZCO space in bytes (NOT file-resident source data)</t>
  </si>
  <si>
    <t>Only when using pyion 3.7 or other software interfaces to inject data</t>
  </si>
  <si>
    <t>data rate in contact graph</t>
  </si>
  <si>
    <t>Recommended HeapWord Size (with 40% for ZCO)**</t>
  </si>
  <si>
    <t>HeapWord Size (if source data not file-resident)</t>
  </si>
  <si>
    <t>** Conservative heap upperbound estimate is based on the following assumptions: (a) only considers X-&gt;Y and Y-&gt;X link pairing, (b) size heap to store up to 1 contact worth of data in case export/import sessions cannot close, (c) source data on transmit side is file-resident, (most cases using ION test utilitites programs, except pyion), (d) aggregated block is size-limited (not time-limited), and (e) estimate based on analysis reported in "ION DTN/LTP Configuration and ION Memory Usage Analysis", January 2021.</t>
  </si>
  <si>
    <t>typically leave it no more than 1 sec</t>
  </si>
  <si>
    <t>assume symmetrical contacts for X-&gt;Y and Y-&gt;X; this should at least be more than TWLT.</t>
  </si>
  <si>
    <t>discretionary</t>
  </si>
  <si>
    <t>Number of Blocks Sent during Contact</t>
  </si>
  <si>
    <t>Est. mean number of bundles/block</t>
  </si>
  <si>
    <t>&lt;- from the "link" sheet</t>
  </si>
  <si>
    <t>relay ZCO is expected to be the same as receive</t>
  </si>
  <si>
    <t>Use this to set heapWords in your .ionconfig file</t>
  </si>
  <si>
    <t>Use this instead if you are using pyion 3.7 or other software interfaces to inject data into ION.</t>
  </si>
  <si>
    <t>Total ZCO space required in bytes (for Tx) (bytes)</t>
  </si>
  <si>
    <t>Total ZCO space required in bytes (for Rx) (bytes)</t>
  </si>
  <si>
    <t>Total ZCO space in bytes (both Tx &amp; Rx) (bytes)</t>
  </si>
  <si>
    <t>Comments</t>
  </si>
  <si>
    <t>computed cell from "Link" sheet</t>
  </si>
  <si>
    <t>size of a report segment containing only 1 claim</t>
  </si>
  <si>
    <t>enter manually or copy from H3</t>
  </si>
  <si>
    <t>Update udplso command; remove obsolete data rate</t>
  </si>
  <si>
    <t xml:space="preserve">Update to incorporate message to set margin for propagation delay </t>
  </si>
  <si>
    <t>Contact Graph</t>
  </si>
  <si>
    <t>* queueing latency can be added after the lso command in seconds to properly reflect queueing delay in round-trip delay computation. In the above example, the queuing delay is set to 2 seconds.</t>
  </si>
  <si>
    <t>x (1/2,2/3,4/5)</t>
  </si>
  <si>
    <t>x (7/8 only)</t>
  </si>
  <si>
    <t>L. Torgerson</t>
  </si>
  <si>
    <t xml:space="preserve">To simply document  tracking, version number is not set to be the same as the ION version to be released. While ION x.y.z has specific meaning and for x (interface), y(feature), and z(bugfix). We use the same number for documents only to indicate their release time. </t>
  </si>
  <si>
    <t>4.1.3</t>
  </si>
  <si>
    <t>Added LDPC code frame payload sizes to "Link" tab. Version number is now synced to ION release cycle.</t>
  </si>
  <si>
    <t>LDPC: rate = 1/2, 2/3, 4/5, (7/8)</t>
  </si>
  <si>
    <t>Recommended working memory (wmSize) Size in Bytes (with 200% margin)</t>
  </si>
  <si>
    <t>Added wmSize calculation</t>
  </si>
  <si>
    <t xml:space="preserve">Longest Expected Outage Period To Buffer Data (sec)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</si>
</sst>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_);_(@_)"/>
    <numFmt numFmtId="165" formatCode="_(* #,##0_);_(* \(#,##0\);_(* \-_);_(@_)"/>
    <numFmt numFmtId="166" formatCode="0.000000"/>
    <numFmt numFmtId="167" formatCode="0.0%"/>
    <numFmt numFmtId="168" formatCode="0.000"/>
    <numFmt numFmtId="169" formatCode="0.0000"/>
    <numFmt numFmtId="170" formatCode="0.0000000000000"/>
    <numFmt numFmtId="171" formatCode="0.00000000"/>
    <numFmt numFmtId="172" formatCode="0.0000000000"/>
    <numFmt numFmtId="173" formatCode="0.000000000000"/>
    <numFmt numFmtId="174" formatCode="0.00000%"/>
  </numFmts>
  <fonts count="37" x14ac:knownFonts="1">
    <font>
      <sz val="11"/>
      <color indexed="8"/>
      <name val="Calibri"/>
      <family val="2"/>
    </font>
    <font>
      <b/>
      <sz val="14"/>
      <color indexed="8"/>
      <name val="Calibri"/>
      <family val="2"/>
    </font>
    <font>
      <i/>
      <sz val="11"/>
      <color indexed="23"/>
      <name val="Calibri"/>
      <family val="2"/>
    </font>
    <font>
      <b/>
      <sz val="11"/>
      <color indexed="9"/>
      <name val="Calibri"/>
      <family val="2"/>
    </font>
    <font>
      <sz val="11"/>
      <color indexed="9"/>
      <name val="Calibri"/>
      <family val="2"/>
    </font>
    <font>
      <b/>
      <sz val="11"/>
      <color indexed="8"/>
      <name val="Calibri"/>
      <family val="2"/>
    </font>
    <font>
      <b/>
      <sz val="11"/>
      <color indexed="52"/>
      <name val="Calibri"/>
      <family val="2"/>
    </font>
    <font>
      <sz val="11"/>
      <color indexed="59"/>
      <name val="Calibri"/>
      <family val="2"/>
    </font>
    <font>
      <i/>
      <sz val="11"/>
      <color indexed="16"/>
      <name val="Calibri"/>
      <family val="2"/>
    </font>
    <font>
      <u/>
      <sz val="11"/>
      <color indexed="8"/>
      <name val="Calibri"/>
      <family val="2"/>
    </font>
    <font>
      <sz val="11"/>
      <color indexed="8"/>
      <name val="Calibri"/>
      <family val="2"/>
    </font>
    <font>
      <b/>
      <sz val="12"/>
      <color indexed="8"/>
      <name val="Calibri"/>
      <family val="2"/>
    </font>
    <font>
      <sz val="11"/>
      <color rgb="FFFF0000"/>
      <name val="Calibri"/>
      <family val="2"/>
    </font>
    <font>
      <sz val="10"/>
      <color theme="8"/>
      <name val="Calibri"/>
      <family val="2"/>
    </font>
    <font>
      <i/>
      <sz val="11"/>
      <color indexed="8"/>
      <name val="Calibri"/>
      <family val="2"/>
    </font>
    <font>
      <sz val="11"/>
      <color theme="8"/>
      <name val="Calibri"/>
      <family val="2"/>
    </font>
    <font>
      <sz val="11"/>
      <color theme="1"/>
      <name val="Calibri"/>
      <family val="2"/>
    </font>
    <font>
      <b/>
      <sz val="9"/>
      <color theme="8" tint="-0.249977111117893"/>
      <name val="Calibri"/>
      <family val="2"/>
    </font>
    <font>
      <sz val="10"/>
      <color theme="8" tint="-0.249977111117893"/>
      <name val="Calibri"/>
      <family val="2"/>
    </font>
    <font>
      <b/>
      <sz val="10"/>
      <color theme="8" tint="-0.249977111117893"/>
      <name val="Calibri"/>
      <family val="2"/>
    </font>
    <font>
      <b/>
      <sz val="10"/>
      <color theme="8"/>
      <name val="Calibri"/>
      <family val="2"/>
    </font>
    <font>
      <i/>
      <sz val="11"/>
      <color theme="2" tint="-0.499984740745262"/>
      <name val="Calibri"/>
      <family val="2"/>
    </font>
    <font>
      <i/>
      <sz val="11"/>
      <color rgb="FFFF0000"/>
      <name val="Calibri"/>
      <family val="2"/>
    </font>
    <font>
      <sz val="11"/>
      <color rgb="FF000000"/>
      <name val="Calibri"/>
      <family val="2"/>
    </font>
    <font>
      <sz val="10"/>
      <name val="Calibri"/>
      <family val="2"/>
    </font>
    <font>
      <sz val="11"/>
      <name val="Calibri"/>
      <family val="2"/>
    </font>
    <font>
      <sz val="11"/>
      <color theme="5"/>
      <name val="Calibri"/>
      <family val="2"/>
    </font>
    <font>
      <sz val="10"/>
      <color theme="1"/>
      <name val="Calibri"/>
      <family val="2"/>
    </font>
    <font>
      <i/>
      <sz val="10"/>
      <color theme="1" tint="0.499984740745262"/>
      <name val="Calibri"/>
      <family val="2"/>
    </font>
    <font>
      <sz val="10"/>
      <color rgb="FF000000"/>
      <name val="Calibri"/>
      <family val="2"/>
    </font>
    <font>
      <sz val="10"/>
      <color indexed="8"/>
      <name val="Calibri"/>
      <family val="2"/>
    </font>
    <font>
      <sz val="11"/>
      <color theme="1" tint="0.34998626667073579"/>
      <name val="Calibri"/>
      <family val="2"/>
    </font>
    <font>
      <sz val="10"/>
      <color rgb="FFFF0000"/>
      <name val="Calibri"/>
      <family val="2"/>
    </font>
    <font>
      <sz val="9"/>
      <name val="Calibri"/>
      <family val="2"/>
    </font>
    <font>
      <i/>
      <sz val="11"/>
      <color theme="0"/>
      <name val="Calibri"/>
      <family val="2"/>
    </font>
    <font>
      <sz val="8"/>
      <name val="Calibri"/>
      <family val="2"/>
    </font>
    <font>
      <sz val="8"/>
      <color indexed="8"/>
      <name val="Calibri"/>
      <family val="2"/>
    </font>
  </fonts>
  <fills count="21">
    <fill>
      <patternFill patternType="none"/>
    </fill>
    <fill>
      <patternFill patternType="gray125"/>
    </fill>
    <fill>
      <patternFill patternType="solid">
        <fgColor indexed="9"/>
        <bgColor indexed="26"/>
      </patternFill>
    </fill>
    <fill>
      <patternFill patternType="solid">
        <fgColor indexed="47"/>
        <bgColor indexed="22"/>
      </patternFill>
    </fill>
    <fill>
      <patternFill patternType="solid">
        <fgColor indexed="22"/>
        <bgColor indexed="55"/>
      </patternFill>
    </fill>
    <fill>
      <patternFill patternType="solid">
        <fgColor indexed="43"/>
        <bgColor indexed="26"/>
      </patternFill>
    </fill>
    <fill>
      <patternFill patternType="solid">
        <fgColor indexed="23"/>
        <bgColor indexed="54"/>
      </patternFill>
    </fill>
    <fill>
      <patternFill patternType="solid">
        <fgColor indexed="55"/>
        <bgColor indexed="22"/>
      </patternFill>
    </fill>
    <fill>
      <patternFill patternType="solid">
        <fgColor indexed="26"/>
        <bgColor indexed="9"/>
      </patternFill>
    </fill>
    <fill>
      <patternFill patternType="solid">
        <fgColor rgb="FFA2BE90"/>
        <bgColor indexed="64"/>
      </patternFill>
    </fill>
    <fill>
      <patternFill patternType="solid">
        <fgColor rgb="FFDAD8D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9" tint="0.39997558519241921"/>
        <bgColor indexed="22"/>
      </patternFill>
    </fill>
    <fill>
      <patternFill patternType="solid">
        <fgColor theme="9" tint="0.39997558519241921"/>
        <bgColor indexed="54"/>
      </patternFill>
    </fill>
    <fill>
      <patternFill patternType="solid">
        <fgColor theme="0" tint="-4.9989318521683403E-2"/>
        <bgColor indexed="26"/>
      </patternFill>
    </fill>
    <fill>
      <patternFill patternType="solid">
        <fgColor rgb="FFFFFF98"/>
        <bgColor indexed="9"/>
      </patternFill>
    </fill>
    <fill>
      <patternFill patternType="solid">
        <fgColor rgb="FFFFFF98"/>
        <bgColor indexed="26"/>
      </patternFill>
    </fill>
    <fill>
      <patternFill patternType="solid">
        <fgColor theme="0" tint="-0.14999847407452621"/>
        <bgColor indexed="9"/>
      </patternFill>
    </fill>
    <fill>
      <patternFill patternType="solid">
        <fgColor theme="0" tint="-0.14999847407452621"/>
        <bgColor indexed="26"/>
      </patternFill>
    </fill>
    <fill>
      <patternFill patternType="solid">
        <fgColor theme="1" tint="0.499984740745262"/>
        <bgColor indexed="22"/>
      </patternFill>
    </fill>
  </fills>
  <borders count="25">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hair">
        <color indexed="23"/>
      </left>
      <right style="hair">
        <color indexed="23"/>
      </right>
      <top style="hair">
        <color indexed="23"/>
      </top>
      <bottom/>
      <diagonal/>
    </border>
    <border>
      <left style="hair">
        <color indexed="23"/>
      </left>
      <right style="hair">
        <color indexed="23"/>
      </right>
      <top/>
      <bottom/>
      <diagonal/>
    </border>
    <border>
      <left style="hair">
        <color indexed="23"/>
      </left>
      <right style="hair">
        <color indexed="23"/>
      </right>
      <top/>
      <bottom style="hair">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bottom/>
      <diagonal/>
    </border>
    <border>
      <left/>
      <right/>
      <top style="thin">
        <color indexed="8"/>
      </top>
      <bottom/>
      <diagonal/>
    </border>
    <border>
      <left/>
      <right style="thin">
        <color indexed="8"/>
      </right>
      <top style="thin">
        <color indexed="8"/>
      </top>
      <bottom/>
      <diagonal/>
    </border>
    <border>
      <left/>
      <right style="thin">
        <color indexed="8"/>
      </right>
      <top/>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style="thin">
        <color indexed="8"/>
      </top>
      <bottom/>
      <diagonal/>
    </border>
  </borders>
  <cellStyleXfs count="8">
    <xf numFmtId="0" fontId="0" fillId="0" borderId="0"/>
    <xf numFmtId="164" fontId="10" fillId="0" borderId="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6" fillId="4" borderId="1" applyNumberFormat="0" applyAlignment="0" applyProtection="0"/>
    <xf numFmtId="0" fontId="2" fillId="0" borderId="0" applyNumberFormat="0" applyFill="0" applyBorder="0" applyAlignment="0" applyProtection="0"/>
    <xf numFmtId="0" fontId="10" fillId="5" borderId="2" applyNumberFormat="0" applyAlignment="0" applyProtection="0"/>
    <xf numFmtId="9" fontId="10" fillId="0" borderId="0" applyFont="0" applyFill="0" applyBorder="0" applyAlignment="0" applyProtection="0"/>
  </cellStyleXfs>
  <cellXfs count="154">
    <xf numFmtId="0" fontId="0" fillId="0" borderId="0" xfId="0"/>
    <xf numFmtId="0" fontId="1" fillId="0" borderId="0" xfId="0" applyFont="1" applyAlignment="1">
      <alignment horizontal="center"/>
    </xf>
    <xf numFmtId="0" fontId="0" fillId="2" borderId="3" xfId="0" applyFill="1" applyBorder="1"/>
    <xf numFmtId="0" fontId="0" fillId="2" borderId="4" xfId="0" applyFill="1" applyBorder="1"/>
    <xf numFmtId="0" fontId="0" fillId="2" borderId="5" xfId="0" applyFill="1" applyBorder="1"/>
    <xf numFmtId="0" fontId="2" fillId="0" borderId="0" xfId="5" applyNumberFormat="1" applyFill="1" applyBorder="1" applyAlignment="1" applyProtection="1"/>
    <xf numFmtId="0" fontId="3" fillId="6" borderId="6" xfId="3" applyNumberFormat="1" applyFont="1" applyFill="1" applyBorder="1" applyAlignment="1" applyProtection="1">
      <alignment horizontal="center"/>
    </xf>
    <xf numFmtId="15" fontId="0" fillId="0" borderId="6" xfId="0" applyNumberFormat="1" applyBorder="1" applyAlignment="1">
      <alignment horizontal="center"/>
    </xf>
    <xf numFmtId="0" fontId="0" fillId="0" borderId="6" xfId="0" applyBorder="1" applyAlignment="1">
      <alignment horizontal="center"/>
    </xf>
    <xf numFmtId="0" fontId="0" fillId="0" borderId="6" xfId="0" applyBorder="1"/>
    <xf numFmtId="0" fontId="4" fillId="6" borderId="6" xfId="3" applyNumberFormat="1" applyFont="1" applyFill="1" applyBorder="1" applyAlignment="1" applyProtection="1">
      <alignment horizontal="center"/>
    </xf>
    <xf numFmtId="0" fontId="0" fillId="7" borderId="6" xfId="2" applyNumberFormat="1" applyFont="1" applyFill="1" applyBorder="1" applyAlignment="1" applyProtection="1">
      <alignment horizontal="center"/>
    </xf>
    <xf numFmtId="165" fontId="0" fillId="5" borderId="2" xfId="1" applyNumberFormat="1" applyFont="1" applyFill="1" applyBorder="1" applyAlignment="1" applyProtection="1">
      <alignment horizontal="center"/>
      <protection locked="0"/>
    </xf>
    <xf numFmtId="0" fontId="7" fillId="8" borderId="6" xfId="4" applyNumberFormat="1" applyFont="1" applyFill="1" applyBorder="1" applyAlignment="1" applyProtection="1">
      <alignment horizontal="center"/>
    </xf>
    <xf numFmtId="0" fontId="0" fillId="5" borderId="6" xfId="6" applyNumberFormat="1" applyFont="1" applyBorder="1" applyAlignment="1" applyProtection="1">
      <alignment horizontal="center"/>
      <protection locked="0"/>
    </xf>
    <xf numFmtId="9" fontId="0" fillId="5" borderId="6" xfId="6" applyNumberFormat="1" applyFont="1" applyBorder="1" applyAlignment="1" applyProtection="1">
      <alignment horizontal="center"/>
      <protection locked="0"/>
    </xf>
    <xf numFmtId="0" fontId="8" fillId="7" borderId="6" xfId="2" applyNumberFormat="1" applyFont="1" applyFill="1" applyBorder="1" applyAlignment="1" applyProtection="1">
      <alignment horizontal="center"/>
    </xf>
    <xf numFmtId="0" fontId="5" fillId="0" borderId="0" xfId="0" applyFont="1"/>
    <xf numFmtId="1" fontId="7" fillId="8" borderId="6" xfId="4" applyNumberFormat="1" applyFont="1" applyFill="1" applyBorder="1" applyAlignment="1" applyProtection="1">
      <alignment horizontal="center"/>
    </xf>
    <xf numFmtId="0" fontId="0" fillId="0" borderId="0" xfId="0" applyAlignment="1">
      <alignment horizontal="left"/>
    </xf>
    <xf numFmtId="2" fontId="7" fillId="8" borderId="6" xfId="4" applyNumberFormat="1" applyFont="1" applyFill="1" applyBorder="1" applyAlignment="1" applyProtection="1">
      <alignment horizontal="center"/>
    </xf>
    <xf numFmtId="167" fontId="7" fillId="8" borderId="6" xfId="4" applyNumberFormat="1" applyFont="1" applyFill="1" applyBorder="1" applyAlignment="1" applyProtection="1">
      <alignment horizontal="center"/>
    </xf>
    <xf numFmtId="0" fontId="0" fillId="0" borderId="0" xfId="0" applyAlignment="1">
      <alignment wrapText="1"/>
    </xf>
    <xf numFmtId="0" fontId="0" fillId="5" borderId="12" xfId="6" applyNumberFormat="1" applyFont="1" applyBorder="1" applyAlignment="1" applyProtection="1">
      <alignment horizontal="center"/>
      <protection locked="0"/>
    </xf>
    <xf numFmtId="0" fontId="7" fillId="8" borderId="12" xfId="4" applyNumberFormat="1" applyFont="1" applyFill="1" applyBorder="1" applyAlignment="1" applyProtection="1">
      <alignment horizontal="center"/>
    </xf>
    <xf numFmtId="1" fontId="7" fillId="8" borderId="12" xfId="4" applyNumberFormat="1" applyFont="1" applyFill="1" applyBorder="1" applyAlignment="1" applyProtection="1">
      <alignment horizontal="center"/>
    </xf>
    <xf numFmtId="168" fontId="7" fillId="8" borderId="12" xfId="4" applyNumberFormat="1" applyFont="1" applyFill="1" applyBorder="1" applyAlignment="1" applyProtection="1">
      <alignment horizontal="center"/>
    </xf>
    <xf numFmtId="166" fontId="7" fillId="8" borderId="12" xfId="4" applyNumberFormat="1" applyFont="1" applyFill="1" applyBorder="1" applyAlignment="1" applyProtection="1">
      <alignment horizontal="center"/>
    </xf>
    <xf numFmtId="2" fontId="7" fillId="8" borderId="12" xfId="4" applyNumberFormat="1" applyFont="1" applyFill="1" applyBorder="1" applyAlignment="1" applyProtection="1">
      <alignment horizontal="center"/>
    </xf>
    <xf numFmtId="0" fontId="0" fillId="5" borderId="13" xfId="6" applyNumberFormat="1" applyFont="1" applyBorder="1" applyAlignment="1" applyProtection="1">
      <alignment horizontal="center"/>
      <protection locked="0"/>
    </xf>
    <xf numFmtId="1" fontId="7" fillId="8" borderId="13" xfId="4" applyNumberFormat="1" applyFont="1" applyFill="1" applyBorder="1" applyAlignment="1" applyProtection="1">
      <alignment horizontal="center"/>
    </xf>
    <xf numFmtId="0" fontId="7" fillId="8" borderId="13" xfId="4" applyNumberFormat="1" applyFont="1" applyFill="1" applyBorder="1" applyAlignment="1" applyProtection="1">
      <alignment horizontal="center"/>
    </xf>
    <xf numFmtId="168" fontId="7" fillId="8" borderId="13" xfId="4" applyNumberFormat="1" applyFont="1" applyFill="1" applyBorder="1" applyAlignment="1" applyProtection="1">
      <alignment horizontal="center"/>
    </xf>
    <xf numFmtId="10" fontId="7" fillId="8" borderId="12" xfId="4" applyNumberFormat="1" applyFont="1" applyFill="1" applyBorder="1" applyAlignment="1" applyProtection="1">
      <alignment horizontal="center"/>
    </xf>
    <xf numFmtId="166" fontId="7" fillId="8" borderId="13" xfId="4" applyNumberFormat="1" applyFont="1" applyFill="1" applyBorder="1" applyAlignment="1" applyProtection="1">
      <alignment horizontal="center"/>
    </xf>
    <xf numFmtId="2" fontId="7" fillId="8" borderId="13" xfId="4" applyNumberFormat="1" applyFont="1" applyFill="1" applyBorder="1" applyAlignment="1" applyProtection="1">
      <alignment horizontal="center"/>
    </xf>
    <xf numFmtId="10" fontId="7" fillId="8" borderId="13" xfId="4" applyNumberFormat="1" applyFont="1" applyFill="1" applyBorder="1" applyAlignment="1" applyProtection="1">
      <alignment horizontal="center"/>
    </xf>
    <xf numFmtId="15" fontId="0" fillId="0" borderId="7" xfId="0" applyNumberFormat="1" applyBorder="1" applyAlignment="1">
      <alignment horizontal="center"/>
    </xf>
    <xf numFmtId="0" fontId="0" fillId="0" borderId="7" xfId="0" applyBorder="1" applyAlignment="1">
      <alignment horizontal="center"/>
    </xf>
    <xf numFmtId="0" fontId="0" fillId="0" borderId="7" xfId="0" applyBorder="1"/>
    <xf numFmtId="0" fontId="4" fillId="6" borderId="13" xfId="3" applyNumberFormat="1" applyFont="1" applyFill="1" applyBorder="1" applyAlignment="1" applyProtection="1">
      <alignment horizontal="center"/>
    </xf>
    <xf numFmtId="0" fontId="0" fillId="7" borderId="13" xfId="2" applyNumberFormat="1" applyFont="1" applyFill="1" applyBorder="1" applyAlignment="1" applyProtection="1">
      <alignment horizontal="center"/>
    </xf>
    <xf numFmtId="0" fontId="10" fillId="7" borderId="13" xfId="2" applyNumberFormat="1" applyFill="1" applyBorder="1" applyAlignment="1" applyProtection="1">
      <alignment horizontal="center" vertical="center" wrapText="1"/>
    </xf>
    <xf numFmtId="49" fontId="0" fillId="0" borderId="6" xfId="0" applyNumberFormat="1" applyBorder="1" applyAlignment="1">
      <alignment horizontal="center"/>
    </xf>
    <xf numFmtId="49" fontId="0" fillId="0" borderId="6" xfId="0" applyNumberFormat="1" applyBorder="1"/>
    <xf numFmtId="49" fontId="0" fillId="0" borderId="7" xfId="0" applyNumberFormat="1" applyBorder="1" applyAlignment="1">
      <alignment horizontal="center"/>
    </xf>
    <xf numFmtId="0" fontId="11" fillId="0" borderId="0" xfId="0" applyFont="1"/>
    <xf numFmtId="0" fontId="14" fillId="0" borderId="0" xfId="2" applyNumberFormat="1" applyFont="1" applyFill="1" applyBorder="1" applyAlignment="1" applyProtection="1">
      <alignment horizontal="left"/>
    </xf>
    <xf numFmtId="169" fontId="0" fillId="0" borderId="0" xfId="0" applyNumberFormat="1"/>
    <xf numFmtId="0" fontId="12" fillId="0" borderId="0" xfId="0" applyFont="1"/>
    <xf numFmtId="0" fontId="0" fillId="0" borderId="13" xfId="0" applyBorder="1"/>
    <xf numFmtId="0" fontId="2" fillId="0" borderId="0" xfId="5" applyNumberFormat="1" applyFill="1" applyBorder="1" applyAlignment="1" applyProtection="1">
      <alignment wrapText="1"/>
    </xf>
    <xf numFmtId="9" fontId="0" fillId="5" borderId="12" xfId="6" applyNumberFormat="1" applyFont="1" applyBorder="1" applyAlignment="1" applyProtection="1">
      <alignment horizontal="center"/>
      <protection locked="0"/>
    </xf>
    <xf numFmtId="0" fontId="0" fillId="7" borderId="6" xfId="2" applyNumberFormat="1" applyFont="1" applyFill="1" applyBorder="1" applyAlignment="1" applyProtection="1">
      <alignment horizontal="center" wrapText="1"/>
    </xf>
    <xf numFmtId="0" fontId="7" fillId="8" borderId="6" xfId="4" applyNumberFormat="1" applyFont="1" applyFill="1" applyBorder="1" applyAlignment="1" applyProtection="1">
      <alignment horizontal="center" wrapText="1"/>
    </xf>
    <xf numFmtId="0" fontId="4" fillId="6" borderId="6" xfId="3" applyNumberFormat="1" applyFont="1" applyFill="1" applyBorder="1" applyAlignment="1" applyProtection="1">
      <alignment horizontal="center" wrapText="1"/>
    </xf>
    <xf numFmtId="0" fontId="8" fillId="7" borderId="6" xfId="2" applyNumberFormat="1" applyFont="1" applyFill="1" applyBorder="1" applyAlignment="1" applyProtection="1">
      <alignment horizontal="center" wrapText="1"/>
    </xf>
    <xf numFmtId="0" fontId="22" fillId="0" borderId="0" xfId="5" applyNumberFormat="1" applyFont="1" applyFill="1" applyBorder="1" applyAlignment="1" applyProtection="1"/>
    <xf numFmtId="0" fontId="23" fillId="0" borderId="0" xfId="0" applyFont="1"/>
    <xf numFmtId="0" fontId="23" fillId="0" borderId="13" xfId="0" applyFont="1" applyBorder="1"/>
    <xf numFmtId="0" fontId="23" fillId="0" borderId="15" xfId="0" applyFont="1" applyBorder="1"/>
    <xf numFmtId="0" fontId="16" fillId="5" borderId="13" xfId="6" applyNumberFormat="1" applyFont="1" applyBorder="1" applyAlignment="1" applyProtection="1">
      <alignment horizontal="center"/>
      <protection locked="0"/>
    </xf>
    <xf numFmtId="171" fontId="16" fillId="5" borderId="13" xfId="6" applyNumberFormat="1" applyFont="1" applyBorder="1" applyAlignment="1" applyProtection="1">
      <alignment horizontal="center"/>
      <protection locked="0"/>
    </xf>
    <xf numFmtId="172" fontId="16" fillId="5" borderId="13" xfId="6" applyNumberFormat="1" applyFont="1" applyBorder="1" applyAlignment="1" applyProtection="1">
      <alignment horizontal="center"/>
      <protection locked="0"/>
    </xf>
    <xf numFmtId="15" fontId="0" fillId="0" borderId="13" xfId="0" applyNumberFormat="1" applyBorder="1" applyAlignment="1">
      <alignment horizontal="center"/>
    </xf>
    <xf numFmtId="15" fontId="25" fillId="0" borderId="13" xfId="0" applyNumberFormat="1" applyFont="1" applyBorder="1" applyAlignment="1">
      <alignment horizontal="center"/>
    </xf>
    <xf numFmtId="0" fontId="25" fillId="0" borderId="13" xfId="0" applyFont="1" applyBorder="1" applyAlignment="1">
      <alignment horizontal="center"/>
    </xf>
    <xf numFmtId="49" fontId="25" fillId="0" borderId="13" xfId="0" applyNumberFormat="1" applyFont="1" applyBorder="1" applyAlignment="1">
      <alignment horizontal="center"/>
    </xf>
    <xf numFmtId="0" fontId="25" fillId="0" borderId="13" xfId="0" applyFont="1" applyBorder="1"/>
    <xf numFmtId="0" fontId="16" fillId="13" borderId="13" xfId="2" applyNumberFormat="1" applyFont="1" applyFill="1" applyBorder="1" applyAlignment="1" applyProtection="1">
      <alignment horizontal="center"/>
    </xf>
    <xf numFmtId="0" fontId="16" fillId="14" borderId="13" xfId="3" applyNumberFormat="1" applyFont="1" applyFill="1" applyBorder="1" applyAlignment="1" applyProtection="1">
      <alignment horizontal="center"/>
    </xf>
    <xf numFmtId="0" fontId="4" fillId="6" borderId="6" xfId="3" applyNumberFormat="1" applyFont="1" applyFill="1" applyBorder="1" applyAlignment="1" applyProtection="1">
      <alignment horizontal="center" vertical="center"/>
    </xf>
    <xf numFmtId="0" fontId="25" fillId="0" borderId="19" xfId="0" applyFont="1" applyBorder="1"/>
    <xf numFmtId="15" fontId="23" fillId="0" borderId="13" xfId="0" applyNumberFormat="1" applyFont="1" applyBorder="1" applyAlignment="1">
      <alignment horizontal="center" vertical="center"/>
    </xf>
    <xf numFmtId="0" fontId="0" fillId="17" borderId="12" xfId="6" applyNumberFormat="1" applyFont="1" applyFill="1" applyBorder="1" applyAlignment="1" applyProtection="1">
      <alignment horizontal="center" vertical="center"/>
      <protection locked="0"/>
    </xf>
    <xf numFmtId="1" fontId="7" fillId="18" borderId="12" xfId="4" applyNumberFormat="1" applyFont="1" applyFill="1" applyBorder="1" applyAlignment="1" applyProtection="1">
      <alignment horizontal="center"/>
    </xf>
    <xf numFmtId="0" fontId="31" fillId="7" borderId="6" xfId="2" applyNumberFormat="1" applyFont="1" applyFill="1" applyBorder="1" applyAlignment="1" applyProtection="1">
      <alignment horizontal="center"/>
    </xf>
    <xf numFmtId="0" fontId="34" fillId="20" borderId="6" xfId="2" applyNumberFormat="1" applyFont="1" applyFill="1" applyBorder="1" applyAlignment="1" applyProtection="1">
      <alignment horizontal="center"/>
    </xf>
    <xf numFmtId="167" fontId="7" fillId="8" borderId="12" xfId="4" applyNumberFormat="1" applyFont="1" applyFill="1" applyBorder="1" applyAlignment="1" applyProtection="1">
      <alignment horizontal="center"/>
    </xf>
    <xf numFmtId="0" fontId="11" fillId="0" borderId="0" xfId="0" applyFont="1" applyAlignment="1">
      <alignment horizontal="center"/>
    </xf>
    <xf numFmtId="0" fontId="5" fillId="0" borderId="0" xfId="0" applyFont="1" applyAlignment="1">
      <alignment horizontal="center"/>
    </xf>
    <xf numFmtId="0" fontId="16" fillId="10" borderId="13" xfId="0" applyFont="1" applyFill="1" applyBorder="1" applyAlignment="1">
      <alignment horizontal="center"/>
    </xf>
    <xf numFmtId="0" fontId="16" fillId="11" borderId="13" xfId="0" applyFont="1" applyFill="1" applyBorder="1" applyAlignment="1">
      <alignment horizontal="center"/>
    </xf>
    <xf numFmtId="166" fontId="16" fillId="10" borderId="13" xfId="0" applyNumberFormat="1" applyFont="1" applyFill="1" applyBorder="1" applyAlignment="1">
      <alignment horizontal="center"/>
    </xf>
    <xf numFmtId="173" fontId="16" fillId="10" borderId="13" xfId="0" applyNumberFormat="1" applyFont="1" applyFill="1" applyBorder="1" applyAlignment="1">
      <alignment horizontal="center"/>
    </xf>
    <xf numFmtId="174" fontId="16" fillId="10" borderId="13" xfId="7" applyNumberFormat="1" applyFont="1" applyFill="1" applyBorder="1" applyAlignment="1" applyProtection="1">
      <alignment horizontal="center"/>
    </xf>
    <xf numFmtId="0" fontId="0" fillId="9" borderId="13" xfId="0" applyFill="1" applyBorder="1" applyAlignment="1">
      <alignment horizontal="center" vertical="center" wrapText="1"/>
    </xf>
    <xf numFmtId="0" fontId="0" fillId="9" borderId="14" xfId="0" applyFill="1" applyBorder="1" applyAlignment="1">
      <alignment horizontal="center" vertical="center" wrapText="1"/>
    </xf>
    <xf numFmtId="0" fontId="0" fillId="0" borderId="13" xfId="0" applyBorder="1" applyAlignment="1">
      <alignment horizontal="center" vertical="center"/>
    </xf>
    <xf numFmtId="0" fontId="5" fillId="0" borderId="0" xfId="0" applyFont="1" applyAlignment="1">
      <alignment wrapText="1"/>
    </xf>
    <xf numFmtId="0" fontId="5" fillId="0" borderId="6" xfId="0" applyFont="1" applyBorder="1" applyAlignment="1">
      <alignment horizontal="center"/>
    </xf>
    <xf numFmtId="170" fontId="0" fillId="12" borderId="13" xfId="0" applyNumberFormat="1" applyFill="1" applyBorder="1"/>
    <xf numFmtId="0" fontId="5" fillId="0" borderId="12" xfId="0" applyFont="1" applyBorder="1" applyAlignment="1">
      <alignment horizontal="center"/>
    </xf>
    <xf numFmtId="0" fontId="5" fillId="0" borderId="13" xfId="0" applyFont="1" applyBorder="1" applyAlignment="1">
      <alignment horizontal="center" wrapText="1"/>
    </xf>
    <xf numFmtId="0" fontId="5" fillId="0" borderId="7" xfId="0" applyFont="1" applyBorder="1" applyAlignment="1">
      <alignment horizontal="center"/>
    </xf>
    <xf numFmtId="0" fontId="0" fillId="0" borderId="13" xfId="0" applyBorder="1" applyAlignment="1">
      <alignment wrapText="1"/>
    </xf>
    <xf numFmtId="0" fontId="26" fillId="0" borderId="8" xfId="0" applyFont="1" applyBorder="1"/>
    <xf numFmtId="0" fontId="0" fillId="0" borderId="9" xfId="0" applyBorder="1"/>
    <xf numFmtId="0" fontId="0" fillId="0" borderId="10" xfId="0" applyBorder="1"/>
    <xf numFmtId="0" fontId="0" fillId="0" borderId="11" xfId="0" applyBorder="1"/>
    <xf numFmtId="0" fontId="12" fillId="0" borderId="8" xfId="0" applyFont="1" applyBorder="1"/>
    <xf numFmtId="0" fontId="17" fillId="0" borderId="13" xfId="0" applyFont="1" applyBorder="1" applyAlignment="1">
      <alignment wrapText="1"/>
    </xf>
    <xf numFmtId="0" fontId="18" fillId="0" borderId="0" xfId="0" applyFont="1" applyAlignment="1">
      <alignment wrapText="1"/>
    </xf>
    <xf numFmtId="0" fontId="24" fillId="0" borderId="13" xfId="0" applyFont="1" applyBorder="1" applyAlignment="1">
      <alignment wrapText="1"/>
    </xf>
    <xf numFmtId="0" fontId="0" fillId="0" borderId="0" xfId="0" applyAlignment="1">
      <alignment horizontal="center"/>
    </xf>
    <xf numFmtId="0" fontId="25" fillId="0" borderId="0" xfId="0" applyFont="1" applyAlignment="1">
      <alignment wrapText="1"/>
    </xf>
    <xf numFmtId="0" fontId="12" fillId="0" borderId="20" xfId="0" applyFont="1" applyBorder="1"/>
    <xf numFmtId="0" fontId="0" fillId="0" borderId="21" xfId="0" applyBorder="1"/>
    <xf numFmtId="0" fontId="19" fillId="0" borderId="13" xfId="0" applyFont="1" applyBorder="1" applyAlignment="1">
      <alignment wrapText="1"/>
    </xf>
    <xf numFmtId="0" fontId="20" fillId="0" borderId="13" xfId="0" applyFont="1" applyBorder="1" applyAlignment="1">
      <alignment wrapText="1"/>
    </xf>
    <xf numFmtId="0" fontId="26" fillId="0" borderId="20" xfId="0" applyFont="1" applyBorder="1"/>
    <xf numFmtId="0" fontId="9" fillId="0" borderId="0" xfId="0" applyFont="1" applyAlignment="1">
      <alignment horizontal="left"/>
    </xf>
    <xf numFmtId="0" fontId="13" fillId="0" borderId="0" xfId="0" applyFont="1" applyAlignment="1">
      <alignment wrapText="1"/>
    </xf>
    <xf numFmtId="0" fontId="12" fillId="0" borderId="22" xfId="0" applyFont="1" applyBorder="1"/>
    <xf numFmtId="0" fontId="0" fillId="0" borderId="17" xfId="0" applyBorder="1"/>
    <xf numFmtId="0" fontId="0" fillId="0" borderId="23" xfId="0" applyBorder="1"/>
    <xf numFmtId="2" fontId="0" fillId="0" borderId="0" xfId="0" applyNumberFormat="1" applyAlignment="1">
      <alignment horizontal="center"/>
    </xf>
    <xf numFmtId="0" fontId="0" fillId="15" borderId="12" xfId="6" applyNumberFormat="1" applyFont="1" applyFill="1" applyBorder="1" applyAlignment="1" applyProtection="1">
      <alignment horizontal="center"/>
    </xf>
    <xf numFmtId="0" fontId="0" fillId="15" borderId="13" xfId="6" applyNumberFormat="1" applyFont="1" applyFill="1" applyBorder="1" applyAlignment="1" applyProtection="1">
      <alignment horizontal="center"/>
    </xf>
    <xf numFmtId="0" fontId="0" fillId="0" borderId="16" xfId="0" applyBorder="1"/>
    <xf numFmtId="0" fontId="0" fillId="0" borderId="19" xfId="0" applyBorder="1"/>
    <xf numFmtId="0" fontId="12" fillId="0" borderId="0" xfId="0" applyFont="1" applyAlignment="1">
      <alignment wrapText="1"/>
    </xf>
    <xf numFmtId="0" fontId="27" fillId="0" borderId="13" xfId="0" applyFont="1" applyBorder="1" applyAlignment="1">
      <alignment wrapText="1"/>
    </xf>
    <xf numFmtId="166" fontId="0" fillId="0" borderId="18" xfId="0" applyNumberFormat="1" applyBorder="1"/>
    <xf numFmtId="0" fontId="0" fillId="0" borderId="18" xfId="0" applyBorder="1"/>
    <xf numFmtId="0" fontId="16" fillId="0" borderId="13" xfId="0" applyFont="1" applyBorder="1" applyAlignment="1">
      <alignment wrapText="1"/>
    </xf>
    <xf numFmtId="0" fontId="0" fillId="0" borderId="0" xfId="0" applyAlignment="1">
      <alignment horizontal="left" indent="1"/>
    </xf>
    <xf numFmtId="0" fontId="15" fillId="0" borderId="13" xfId="0" applyFont="1" applyBorder="1" applyAlignment="1">
      <alignment wrapText="1"/>
    </xf>
    <xf numFmtId="0" fontId="21" fillId="0" borderId="0" xfId="0" applyFont="1"/>
    <xf numFmtId="0" fontId="0" fillId="19" borderId="13" xfId="6" applyNumberFormat="1" applyFont="1" applyFill="1" applyBorder="1" applyAlignment="1" applyProtection="1">
      <alignment horizontal="center" vertical="center"/>
    </xf>
    <xf numFmtId="0" fontId="33" fillId="0" borderId="13" xfId="0" applyFont="1" applyBorder="1" applyAlignment="1">
      <alignment vertical="center" wrapText="1"/>
    </xf>
    <xf numFmtId="0" fontId="32" fillId="0" borderId="13" xfId="0" applyFont="1" applyBorder="1" applyAlignment="1">
      <alignment wrapText="1"/>
    </xf>
    <xf numFmtId="0" fontId="29" fillId="0" borderId="13" xfId="0" applyFont="1" applyBorder="1" applyAlignment="1">
      <alignment wrapText="1"/>
    </xf>
    <xf numFmtId="0" fontId="30" fillId="0" borderId="13" xfId="0" applyFont="1" applyBorder="1" applyAlignment="1">
      <alignment wrapText="1"/>
    </xf>
    <xf numFmtId="0" fontId="28" fillId="0" borderId="0" xfId="0" applyFont="1" applyAlignment="1">
      <alignment wrapText="1"/>
    </xf>
    <xf numFmtId="0" fontId="5" fillId="0" borderId="6" xfId="0" applyFont="1" applyBorder="1" applyAlignment="1">
      <alignment horizontal="center" wrapText="1"/>
    </xf>
    <xf numFmtId="0" fontId="0" fillId="5" borderId="6" xfId="6" applyNumberFormat="1" applyFont="1" applyBorder="1" applyAlignment="1" applyProtection="1">
      <alignment horizontal="center" wrapText="1"/>
    </xf>
    <xf numFmtId="1" fontId="7" fillId="16" borderId="12" xfId="4" applyNumberFormat="1" applyFont="1" applyFill="1" applyBorder="1" applyAlignment="1" applyProtection="1">
      <alignment horizontal="center"/>
      <protection locked="0"/>
    </xf>
    <xf numFmtId="1" fontId="7" fillId="16" borderId="13" xfId="4" applyNumberFormat="1" applyFont="1" applyFill="1" applyBorder="1" applyAlignment="1" applyProtection="1">
      <alignment horizontal="center"/>
      <protection locked="0"/>
    </xf>
    <xf numFmtId="10" fontId="7" fillId="16" borderId="12" xfId="4" applyNumberFormat="1" applyFont="1" applyFill="1" applyBorder="1" applyAlignment="1" applyProtection="1">
      <alignment horizontal="center"/>
      <protection locked="0"/>
    </xf>
    <xf numFmtId="0" fontId="35" fillId="0" borderId="0" xfId="0" applyFont="1"/>
    <xf numFmtId="0" fontId="36" fillId="0" borderId="0" xfId="0" applyFont="1"/>
    <xf numFmtId="0" fontId="23" fillId="0" borderId="15" xfId="0" applyFont="1" applyBorder="1" applyAlignment="1">
      <alignment horizontal="center"/>
    </xf>
    <xf numFmtId="15" fontId="23" fillId="0" borderId="13" xfId="0" applyNumberFormat="1" applyFont="1" applyBorder="1" applyAlignment="1">
      <alignment horizontal="center"/>
    </xf>
    <xf numFmtId="0" fontId="5" fillId="0" borderId="16" xfId="0" applyFont="1" applyBorder="1"/>
    <xf numFmtId="0" fontId="0" fillId="0" borderId="19" xfId="0" applyBorder="1" applyAlignment="1">
      <alignment wrapText="1"/>
    </xf>
    <xf numFmtId="0" fontId="10" fillId="0" borderId="13" xfId="2" applyNumberFormat="1" applyFill="1" applyBorder="1" applyAlignment="1" applyProtection="1">
      <alignment horizontal="center" vertical="center" wrapText="1"/>
    </xf>
    <xf numFmtId="0" fontId="0" fillId="0" borderId="13" xfId="0" applyBorder="1" applyAlignment="1">
      <alignment horizontal="center" vertical="center" wrapText="1"/>
    </xf>
    <xf numFmtId="0" fontId="25" fillId="0" borderId="15" xfId="0" applyFont="1" applyBorder="1"/>
    <xf numFmtId="0" fontId="12" fillId="0" borderId="15" xfId="0" applyFont="1" applyBorder="1" applyAlignment="1">
      <alignment horizontal="center"/>
    </xf>
    <xf numFmtId="0" fontId="24" fillId="0" borderId="0" xfId="0" applyFont="1" applyAlignment="1">
      <alignment wrapText="1"/>
    </xf>
    <xf numFmtId="0" fontId="34" fillId="20" borderId="7" xfId="2" applyNumberFormat="1" applyFont="1" applyFill="1" applyBorder="1" applyAlignment="1" applyProtection="1">
      <alignment horizontal="center"/>
    </xf>
    <xf numFmtId="0" fontId="7" fillId="8" borderId="24" xfId="4" applyNumberFormat="1" applyFont="1" applyFill="1" applyBorder="1" applyAlignment="1" applyProtection="1">
      <alignment horizontal="center"/>
    </xf>
    <xf numFmtId="0" fontId="34" fillId="20" borderId="13" xfId="2" applyNumberFormat="1" applyFont="1" applyFill="1" applyBorder="1" applyAlignment="1" applyProtection="1">
      <alignment horizontal="center"/>
    </xf>
  </cellXfs>
  <cellStyles count="8">
    <cellStyle name="Comma" xfId="1" builtinId="3"/>
    <cellStyle name="Excel_BuiltIn_20% - Accent1 1" xfId="2" xr:uid="{00000000-0005-0000-0000-000001000000}"/>
    <cellStyle name="Excel_BuiltIn_20% - Accent6 1" xfId="3" xr:uid="{00000000-0005-0000-0000-000002000000}"/>
    <cellStyle name="Excel_BuiltIn_Calculation 1" xfId="4" xr:uid="{00000000-0005-0000-0000-000003000000}"/>
    <cellStyle name="Excel_BuiltIn_Explanatory Text 1" xfId="5" xr:uid="{00000000-0005-0000-0000-000004000000}"/>
    <cellStyle name="Excel_BuiltIn_Note 1" xfId="6" xr:uid="{00000000-0005-0000-0000-000005000000}"/>
    <cellStyle name="Normal" xfId="0" builtinId="0"/>
    <cellStyle name="Percent" xfId="7" builtinId="5"/>
  </cellStyles>
  <dxfs count="0"/>
  <tableStyles count="0" defaultTableStyle="TableStyleMedium9" defaultPivotStyle="PivotStyleMedium7"/>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C5000B"/>
      <rgbColor rgb="00008000"/>
      <rgbColor rgb="00000080"/>
      <rgbColor rgb="00808000"/>
      <rgbColor rgb="006711FF"/>
      <rgbColor rgb="00008080"/>
      <rgbColor rgb="00C0C0C0"/>
      <rgbColor rgb="00808080"/>
      <rgbColor rgb="009999FF"/>
      <rgbColor rgb="00865357"/>
      <rgbColor rgb="00EEEEEE"/>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2BD90"/>
      <rgbColor rgb="00003366"/>
      <rgbColor rgb="00339966"/>
      <rgbColor rgb="00003300"/>
      <rgbColor rgb="00461900"/>
      <rgbColor rgb="00993300"/>
      <rgbColor rgb="00993366"/>
      <rgbColor rgb="00333399"/>
      <rgbColor rgb="00333333"/>
    </indexedColors>
    <mruColors>
      <color rgb="FFFFFF98"/>
      <color rgb="FFDAD8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44937</xdr:colOff>
      <xdr:row>2</xdr:row>
      <xdr:rowOff>131886</xdr:rowOff>
    </xdr:from>
    <xdr:to>
      <xdr:col>12</xdr:col>
      <xdr:colOff>756138</xdr:colOff>
      <xdr:row>19</xdr:row>
      <xdr:rowOff>121139</xdr:rowOff>
    </xdr:to>
    <xdr:pic>
      <xdr:nvPicPr>
        <xdr:cNvPr id="4122" name="Picture 1">
          <a:extLst>
            <a:ext uri="{FF2B5EF4-FFF2-40B4-BE49-F238E27FC236}">
              <a16:creationId xmlns:a16="http://schemas.microsoft.com/office/drawing/2014/main" id="{203E5D1F-8E4D-3447-87C5-5F7113FD0BB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98014" y="532424"/>
          <a:ext cx="6484816" cy="3975100"/>
        </a:xfrm>
        <a:prstGeom prst="rect">
          <a:avLst/>
        </a:prstGeom>
        <a:noFill/>
        <a:ln w="9525">
          <a:solidFill>
            <a:srgbClr val="5B9BD5"/>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1"/>
  <sheetViews>
    <sheetView showGridLines="0" zoomScale="259" zoomScaleNormal="3" workbookViewId="0">
      <selection activeCell="B11" sqref="B11"/>
    </sheetView>
  </sheetViews>
  <sheetFormatPr defaultColWidth="11.42578125" defaultRowHeight="15" x14ac:dyDescent="0.25"/>
  <cols>
    <col min="1" max="1" width="4.7109375" customWidth="1"/>
    <col min="2" max="2" width="81.7109375" customWidth="1"/>
  </cols>
  <sheetData>
    <row r="2" spans="2:2" ht="18.75" x14ac:dyDescent="0.3">
      <c r="B2" s="1" t="s">
        <v>0</v>
      </c>
    </row>
    <row r="3" spans="2:2" x14ac:dyDescent="0.25">
      <c r="B3" s="2" t="s">
        <v>1</v>
      </c>
    </row>
    <row r="4" spans="2:2" x14ac:dyDescent="0.25">
      <c r="B4" s="3" t="s">
        <v>2</v>
      </c>
    </row>
    <row r="5" spans="2:2" x14ac:dyDescent="0.25">
      <c r="B5" s="3" t="s">
        <v>70</v>
      </c>
    </row>
    <row r="6" spans="2:2" x14ac:dyDescent="0.25">
      <c r="B6" s="3" t="s">
        <v>71</v>
      </c>
    </row>
    <row r="7" spans="2:2" x14ac:dyDescent="0.25">
      <c r="B7" s="4" t="s">
        <v>63</v>
      </c>
    </row>
    <row r="9" spans="2:2" x14ac:dyDescent="0.25">
      <c r="B9" s="5" t="s">
        <v>3</v>
      </c>
    </row>
    <row r="10" spans="2:2" x14ac:dyDescent="0.25">
      <c r="B10" s="5" t="s">
        <v>4</v>
      </c>
    </row>
    <row r="11" spans="2:2" x14ac:dyDescent="0.25">
      <c r="B11" s="5" t="s">
        <v>5</v>
      </c>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E65"/>
  <sheetViews>
    <sheetView showGridLines="0" topLeftCell="B27" zoomScale="142" zoomScaleNormal="142" workbookViewId="0">
      <selection activeCell="E54" sqref="E54"/>
    </sheetView>
  </sheetViews>
  <sheetFormatPr defaultColWidth="11.42578125" defaultRowHeight="15" x14ac:dyDescent="0.25"/>
  <cols>
    <col min="1" max="1" width="3" customWidth="1"/>
    <col min="2" max="2" width="14.7109375" customWidth="1"/>
    <col min="3" max="3" width="11.42578125" customWidth="1"/>
    <col min="4" max="4" width="9.28515625" customWidth="1"/>
    <col min="5" max="5" width="140.140625" customWidth="1"/>
  </cols>
  <sheetData>
    <row r="2" spans="2:5" x14ac:dyDescent="0.25">
      <c r="B2" s="6" t="s">
        <v>6</v>
      </c>
      <c r="C2" s="6" t="s">
        <v>7</v>
      </c>
      <c r="D2" s="6" t="s">
        <v>8</v>
      </c>
      <c r="E2" s="6" t="s">
        <v>9</v>
      </c>
    </row>
    <row r="3" spans="2:5" x14ac:dyDescent="0.25">
      <c r="B3" s="7">
        <v>42410</v>
      </c>
      <c r="C3" s="8" t="s">
        <v>10</v>
      </c>
      <c r="D3" s="43">
        <v>1</v>
      </c>
      <c r="E3" s="9" t="s">
        <v>11</v>
      </c>
    </row>
    <row r="4" spans="2:5" x14ac:dyDescent="0.25">
      <c r="B4" s="7">
        <v>42412</v>
      </c>
      <c r="C4" s="8" t="s">
        <v>12</v>
      </c>
      <c r="D4" s="43">
        <v>1.1000000000000001</v>
      </c>
      <c r="E4" s="9" t="s">
        <v>13</v>
      </c>
    </row>
    <row r="5" spans="2:5" x14ac:dyDescent="0.25">
      <c r="B5" s="8"/>
      <c r="C5" s="8"/>
      <c r="D5" s="43"/>
      <c r="E5" s="9" t="s">
        <v>14</v>
      </c>
    </row>
    <row r="6" spans="2:5" x14ac:dyDescent="0.25">
      <c r="B6" s="8"/>
      <c r="C6" s="8"/>
      <c r="D6" s="43"/>
      <c r="E6" s="9" t="s">
        <v>15</v>
      </c>
    </row>
    <row r="7" spans="2:5" x14ac:dyDescent="0.25">
      <c r="B7" s="7">
        <v>42418</v>
      </c>
      <c r="C7" s="8" t="s">
        <v>12</v>
      </c>
      <c r="D7" s="43">
        <v>1.2</v>
      </c>
      <c r="E7" s="9" t="s">
        <v>16</v>
      </c>
    </row>
    <row r="8" spans="2:5" x14ac:dyDescent="0.25">
      <c r="B8" s="8"/>
      <c r="C8" s="8"/>
      <c r="D8" s="43"/>
      <c r="E8" s="9" t="s">
        <v>17</v>
      </c>
    </row>
    <row r="9" spans="2:5" x14ac:dyDescent="0.25">
      <c r="B9" s="8"/>
      <c r="C9" s="8"/>
      <c r="D9" s="43"/>
      <c r="E9" s="9" t="s">
        <v>18</v>
      </c>
    </row>
    <row r="10" spans="2:5" x14ac:dyDescent="0.25">
      <c r="B10" s="7">
        <v>42438</v>
      </c>
      <c r="C10" s="8" t="s">
        <v>12</v>
      </c>
      <c r="D10" s="43">
        <v>1.3</v>
      </c>
      <c r="E10" s="9" t="s">
        <v>19</v>
      </c>
    </row>
    <row r="11" spans="2:5" x14ac:dyDescent="0.25">
      <c r="B11" s="8"/>
      <c r="C11" s="8"/>
      <c r="D11" s="43"/>
      <c r="E11" s="9" t="s">
        <v>20</v>
      </c>
    </row>
    <row r="12" spans="2:5" x14ac:dyDescent="0.25">
      <c r="B12" s="7">
        <v>42444</v>
      </c>
      <c r="C12" s="8" t="s">
        <v>12</v>
      </c>
      <c r="D12" s="43">
        <v>1.4</v>
      </c>
      <c r="E12" s="9" t="s">
        <v>21</v>
      </c>
    </row>
    <row r="13" spans="2:5" x14ac:dyDescent="0.25">
      <c r="B13" s="7">
        <v>42453</v>
      </c>
      <c r="C13" s="8" t="s">
        <v>12</v>
      </c>
      <c r="D13" s="43">
        <v>1.5</v>
      </c>
      <c r="E13" s="9" t="s">
        <v>57</v>
      </c>
    </row>
    <row r="14" spans="2:5" x14ac:dyDescent="0.25">
      <c r="B14" s="9"/>
      <c r="C14" s="9"/>
      <c r="D14" s="44"/>
      <c r="E14" s="9" t="s">
        <v>58</v>
      </c>
    </row>
    <row r="15" spans="2:5" x14ac:dyDescent="0.25">
      <c r="B15" s="9"/>
      <c r="C15" s="9"/>
      <c r="D15" s="44"/>
      <c r="E15" s="9" t="s">
        <v>59</v>
      </c>
    </row>
    <row r="16" spans="2:5" x14ac:dyDescent="0.25">
      <c r="B16" s="9"/>
      <c r="C16" s="9"/>
      <c r="D16" s="44"/>
      <c r="E16" s="9" t="s">
        <v>60</v>
      </c>
    </row>
    <row r="17" spans="2:5" x14ac:dyDescent="0.25">
      <c r="B17" s="9"/>
      <c r="C17" s="9"/>
      <c r="D17" s="44"/>
      <c r="E17" s="9" t="s">
        <v>61</v>
      </c>
    </row>
    <row r="18" spans="2:5" x14ac:dyDescent="0.25">
      <c r="B18" s="9"/>
      <c r="C18" s="9"/>
      <c r="D18" s="44"/>
      <c r="E18" s="9" t="s">
        <v>62</v>
      </c>
    </row>
    <row r="19" spans="2:5" ht="15.95" customHeight="1" x14ac:dyDescent="0.25">
      <c r="B19" s="7">
        <v>42464</v>
      </c>
      <c r="C19" s="8" t="s">
        <v>12</v>
      </c>
      <c r="D19" s="43">
        <v>1.6</v>
      </c>
      <c r="E19" s="9" t="s">
        <v>65</v>
      </c>
    </row>
    <row r="20" spans="2:5" ht="15.95" customHeight="1" x14ac:dyDescent="0.25">
      <c r="B20" s="9"/>
      <c r="C20" s="9"/>
      <c r="D20" s="44"/>
      <c r="E20" s="9" t="s">
        <v>66</v>
      </c>
    </row>
    <row r="21" spans="2:5" x14ac:dyDescent="0.25">
      <c r="B21" s="9"/>
      <c r="C21" s="9"/>
      <c r="D21" s="44"/>
      <c r="E21" s="9" t="s">
        <v>67</v>
      </c>
    </row>
    <row r="22" spans="2:5" ht="15.95" customHeight="1" x14ac:dyDescent="0.25">
      <c r="B22" s="9"/>
      <c r="C22" s="9"/>
      <c r="D22" s="44"/>
      <c r="E22" s="9" t="s">
        <v>68</v>
      </c>
    </row>
    <row r="23" spans="2:5" ht="15.95" customHeight="1" x14ac:dyDescent="0.25">
      <c r="B23" s="9"/>
      <c r="C23" s="9"/>
      <c r="D23" s="44"/>
      <c r="E23" s="9" t="s">
        <v>69</v>
      </c>
    </row>
    <row r="24" spans="2:5" x14ac:dyDescent="0.25">
      <c r="B24" s="7">
        <v>42494</v>
      </c>
      <c r="C24" s="8" t="s">
        <v>12</v>
      </c>
      <c r="D24" s="43">
        <v>1.7</v>
      </c>
      <c r="E24" s="9" t="s">
        <v>72</v>
      </c>
    </row>
    <row r="25" spans="2:5" ht="15.95" customHeight="1" x14ac:dyDescent="0.25">
      <c r="B25" s="37">
        <v>42525</v>
      </c>
      <c r="C25" s="38" t="s">
        <v>12</v>
      </c>
      <c r="D25" s="45">
        <v>1.8</v>
      </c>
      <c r="E25" s="39" t="s">
        <v>82</v>
      </c>
    </row>
    <row r="26" spans="2:5" ht="15.95" customHeight="1" x14ac:dyDescent="0.25">
      <c r="B26" s="65">
        <v>44243</v>
      </c>
      <c r="C26" s="66" t="s">
        <v>83</v>
      </c>
      <c r="D26" s="67" t="s">
        <v>93</v>
      </c>
      <c r="E26" s="68" t="s">
        <v>88</v>
      </c>
    </row>
    <row r="27" spans="2:5" ht="15.95" customHeight="1" x14ac:dyDescent="0.25">
      <c r="B27" s="65">
        <v>44244</v>
      </c>
      <c r="C27" s="66"/>
      <c r="D27" s="67"/>
      <c r="E27" s="68" t="s">
        <v>92</v>
      </c>
    </row>
    <row r="28" spans="2:5" ht="15.95" customHeight="1" x14ac:dyDescent="0.25">
      <c r="B28" s="65"/>
      <c r="C28" s="66"/>
      <c r="D28" s="67"/>
      <c r="E28" s="68" t="s">
        <v>91</v>
      </c>
    </row>
    <row r="29" spans="2:5" x14ac:dyDescent="0.25">
      <c r="B29" s="65"/>
      <c r="C29" s="66"/>
      <c r="D29" s="67"/>
      <c r="E29" s="68" t="s">
        <v>111</v>
      </c>
    </row>
    <row r="30" spans="2:5" x14ac:dyDescent="0.25">
      <c r="B30" s="65">
        <v>44249</v>
      </c>
      <c r="C30" s="66"/>
      <c r="D30" s="67"/>
      <c r="E30" s="68" t="s">
        <v>110</v>
      </c>
    </row>
    <row r="31" spans="2:5" x14ac:dyDescent="0.25">
      <c r="B31" s="65">
        <v>44257</v>
      </c>
      <c r="C31" s="66"/>
      <c r="D31" s="67"/>
      <c r="E31" s="68" t="s">
        <v>112</v>
      </c>
    </row>
    <row r="32" spans="2:5" x14ac:dyDescent="0.25">
      <c r="B32" s="65">
        <v>44283</v>
      </c>
      <c r="C32" s="66"/>
      <c r="D32" s="66"/>
      <c r="E32" s="68" t="s">
        <v>121</v>
      </c>
    </row>
    <row r="33" spans="1:5" x14ac:dyDescent="0.25">
      <c r="B33" s="64">
        <v>44287</v>
      </c>
      <c r="C33" s="50"/>
      <c r="D33" s="50"/>
      <c r="E33" s="50" t="s">
        <v>123</v>
      </c>
    </row>
    <row r="34" spans="1:5" x14ac:dyDescent="0.25">
      <c r="A34" s="58"/>
      <c r="B34" s="59"/>
      <c r="C34" s="60"/>
      <c r="D34" s="60"/>
      <c r="E34" s="60" t="s">
        <v>120</v>
      </c>
    </row>
    <row r="35" spans="1:5" x14ac:dyDescent="0.25">
      <c r="A35" s="58"/>
      <c r="B35" s="73">
        <v>44295</v>
      </c>
      <c r="C35" s="60"/>
      <c r="D35" s="60"/>
      <c r="E35" s="72" t="s">
        <v>128</v>
      </c>
    </row>
    <row r="36" spans="1:5" x14ac:dyDescent="0.25">
      <c r="A36" s="58"/>
      <c r="B36" s="73">
        <v>44614</v>
      </c>
      <c r="C36" s="142" t="s">
        <v>83</v>
      </c>
      <c r="D36" s="142">
        <v>2.1</v>
      </c>
      <c r="E36" s="68" t="s">
        <v>151</v>
      </c>
    </row>
    <row r="37" spans="1:5" x14ac:dyDescent="0.25">
      <c r="A37" s="58"/>
      <c r="B37" s="143">
        <v>44699</v>
      </c>
      <c r="C37" s="142" t="s">
        <v>83</v>
      </c>
      <c r="D37" s="142">
        <v>2.2000000000000002</v>
      </c>
      <c r="E37" s="60" t="s">
        <v>152</v>
      </c>
    </row>
    <row r="38" spans="1:5" x14ac:dyDescent="0.25">
      <c r="A38" s="58"/>
      <c r="B38" s="143"/>
      <c r="C38" s="142"/>
      <c r="D38" s="142"/>
      <c r="E38" s="60"/>
    </row>
    <row r="39" spans="1:5" x14ac:dyDescent="0.25">
      <c r="A39" s="58"/>
      <c r="B39" s="143">
        <v>45124</v>
      </c>
      <c r="C39" s="142" t="s">
        <v>83</v>
      </c>
      <c r="D39" s="142"/>
      <c r="E39" s="60" t="s">
        <v>158</v>
      </c>
    </row>
    <row r="40" spans="1:5" x14ac:dyDescent="0.25">
      <c r="A40" s="58"/>
      <c r="B40" s="143"/>
      <c r="C40" s="142"/>
      <c r="D40" s="142"/>
      <c r="E40" s="60"/>
    </row>
    <row r="41" spans="1:5" x14ac:dyDescent="0.25">
      <c r="A41" s="58"/>
      <c r="B41" s="73">
        <v>45124</v>
      </c>
      <c r="C41" s="142" t="s">
        <v>157</v>
      </c>
      <c r="D41" s="149" t="s">
        <v>159</v>
      </c>
      <c r="E41" s="148" t="s">
        <v>160</v>
      </c>
    </row>
    <row r="42" spans="1:5" x14ac:dyDescent="0.25">
      <c r="A42" s="58"/>
      <c r="B42" s="73"/>
      <c r="C42" s="142"/>
      <c r="D42" s="142"/>
      <c r="E42" s="148" t="s">
        <v>163</v>
      </c>
    </row>
    <row r="43" spans="1:5" x14ac:dyDescent="0.25">
      <c r="A43" s="58"/>
      <c r="B43" s="73"/>
      <c r="C43" s="142"/>
      <c r="D43" s="142"/>
      <c r="E43" s="148"/>
    </row>
    <row r="44" spans="1:5" x14ac:dyDescent="0.25">
      <c r="A44" s="58"/>
      <c r="B44" s="143"/>
      <c r="C44" s="142"/>
      <c r="D44" s="142"/>
      <c r="E44" s="60"/>
    </row>
    <row r="45" spans="1:5" x14ac:dyDescent="0.25">
      <c r="A45" s="58"/>
      <c r="B45" s="58"/>
      <c r="C45" s="58"/>
      <c r="D45" s="58"/>
      <c r="E45" s="58"/>
    </row>
    <row r="47" spans="1:5" x14ac:dyDescent="0.25">
      <c r="B47" s="5" t="s">
        <v>3</v>
      </c>
    </row>
    <row r="48" spans="1:5" x14ac:dyDescent="0.25">
      <c r="B48" s="5" t="s">
        <v>4</v>
      </c>
    </row>
    <row r="49" spans="2:5" x14ac:dyDescent="0.25">
      <c r="B49" s="5" t="s">
        <v>5</v>
      </c>
    </row>
    <row r="56" spans="2:5" x14ac:dyDescent="0.25">
      <c r="E56" s="22"/>
    </row>
    <row r="61" spans="2:5" x14ac:dyDescent="0.25">
      <c r="E61" s="19"/>
    </row>
    <row r="62" spans="2:5" x14ac:dyDescent="0.25">
      <c r="E62" s="19"/>
    </row>
    <row r="65" spans="5:5" x14ac:dyDescent="0.25">
      <c r="E65" s="22"/>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F42"/>
  <sheetViews>
    <sheetView zoomScale="130" zoomScaleNormal="130" workbookViewId="0">
      <selection activeCell="D3" sqref="D3"/>
    </sheetView>
  </sheetViews>
  <sheetFormatPr defaultColWidth="11.42578125" defaultRowHeight="15" x14ac:dyDescent="0.25"/>
  <cols>
    <col min="2" max="2" width="31.28515625" customWidth="1"/>
    <col min="3" max="3" width="24.28515625" customWidth="1"/>
    <col min="4" max="4" width="25.42578125" customWidth="1"/>
    <col min="5" max="5" width="20" customWidth="1"/>
    <col min="6" max="6" width="10.28515625" customWidth="1"/>
  </cols>
  <sheetData>
    <row r="2" spans="2:6" ht="15.75" x14ac:dyDescent="0.25">
      <c r="B2" s="79" t="s">
        <v>87</v>
      </c>
      <c r="C2" s="80" t="s">
        <v>108</v>
      </c>
      <c r="D2" s="80" t="s">
        <v>109</v>
      </c>
      <c r="F2" s="46" t="s">
        <v>96</v>
      </c>
    </row>
    <row r="3" spans="2:6" x14ac:dyDescent="0.25">
      <c r="B3" s="69" t="s">
        <v>86</v>
      </c>
      <c r="C3" s="61">
        <v>16384</v>
      </c>
      <c r="D3" s="61">
        <v>16384</v>
      </c>
    </row>
    <row r="4" spans="2:6" x14ac:dyDescent="0.25">
      <c r="B4" s="70" t="s">
        <v>85</v>
      </c>
      <c r="C4" s="81">
        <f>C3/8</f>
        <v>2048</v>
      </c>
      <c r="D4" s="81">
        <f>D3/8</f>
        <v>2048</v>
      </c>
    </row>
    <row r="5" spans="2:6" x14ac:dyDescent="0.25">
      <c r="B5" s="69" t="s">
        <v>114</v>
      </c>
      <c r="C5" s="62">
        <v>1.0000000000000001E-5</v>
      </c>
      <c r="D5" s="63">
        <v>1.0000000000000001E-5</v>
      </c>
    </row>
    <row r="6" spans="2:6" x14ac:dyDescent="0.25">
      <c r="B6" s="82" t="s">
        <v>102</v>
      </c>
      <c r="C6" s="61">
        <v>1800</v>
      </c>
      <c r="D6" s="61">
        <v>1400</v>
      </c>
    </row>
    <row r="7" spans="2:6" x14ac:dyDescent="0.25">
      <c r="B7" s="82" t="s">
        <v>103</v>
      </c>
      <c r="C7" s="61">
        <v>1500</v>
      </c>
      <c r="D7" s="61">
        <v>1500</v>
      </c>
    </row>
    <row r="8" spans="2:6" x14ac:dyDescent="0.25">
      <c r="B8" s="82" t="s">
        <v>119</v>
      </c>
      <c r="C8" s="81" t="e">
        <f ca="1">ser_ccsds($C$6,$C$4,$C$5)</f>
        <v>#NAME?</v>
      </c>
      <c r="D8" s="83" t="e">
        <f ca="1">ser_ccsds($C$6,$C$4,$C$5)</f>
        <v>#NAME?</v>
      </c>
    </row>
    <row r="9" spans="2:6" x14ac:dyDescent="0.25">
      <c r="B9" s="82" t="s">
        <v>98</v>
      </c>
      <c r="C9" s="84" t="e">
        <f ca="1">ser2ber($C$6,$C$8)</f>
        <v>#NAME?</v>
      </c>
      <c r="D9" s="84" t="e">
        <f ca="1">ser2ber($C$6,$C$8)</f>
        <v>#NAME?</v>
      </c>
    </row>
    <row r="10" spans="2:6" ht="45" x14ac:dyDescent="0.25">
      <c r="B10" s="82" t="s">
        <v>99</v>
      </c>
      <c r="C10" s="85" t="e">
        <f ca="1">ser2efer($C$8,$C$6,$C$7)</f>
        <v>#NAME?</v>
      </c>
      <c r="D10" s="85" t="e">
        <f ca="1">ser2efer($C$8,$C$6,$C$7)</f>
        <v>#NAME?</v>
      </c>
      <c r="E10" s="22" t="s">
        <v>115</v>
      </c>
    </row>
    <row r="11" spans="2:6" x14ac:dyDescent="0.25">
      <c r="B11" s="47" t="s">
        <v>95</v>
      </c>
    </row>
    <row r="13" spans="2:6" ht="15.75" x14ac:dyDescent="0.25">
      <c r="B13" s="46" t="s">
        <v>94</v>
      </c>
    </row>
    <row r="14" spans="2:6" ht="30" x14ac:dyDescent="0.25">
      <c r="B14" s="42" t="s">
        <v>84</v>
      </c>
      <c r="C14" s="86" t="s">
        <v>161</v>
      </c>
      <c r="D14" s="86" t="s">
        <v>90</v>
      </c>
      <c r="E14" s="87" t="s">
        <v>118</v>
      </c>
    </row>
    <row r="15" spans="2:6" x14ac:dyDescent="0.25">
      <c r="B15" s="146">
        <v>1024</v>
      </c>
      <c r="C15" s="146" t="s">
        <v>155</v>
      </c>
      <c r="D15" s="147"/>
      <c r="E15" s="147"/>
    </row>
    <row r="16" spans="2:6" x14ac:dyDescent="0.25">
      <c r="B16" s="88">
        <v>1784</v>
      </c>
      <c r="C16" s="88"/>
      <c r="D16" s="88" t="s">
        <v>89</v>
      </c>
      <c r="E16" s="88"/>
    </row>
    <row r="17" spans="2:6" x14ac:dyDescent="0.25">
      <c r="B17" s="88">
        <v>2072</v>
      </c>
      <c r="C17" s="88"/>
      <c r="D17" s="88"/>
      <c r="E17" s="88" t="s">
        <v>89</v>
      </c>
    </row>
    <row r="18" spans="2:6" x14ac:dyDescent="0.25">
      <c r="B18" s="88">
        <v>3568</v>
      </c>
      <c r="C18" s="88"/>
      <c r="D18" s="88" t="s">
        <v>89</v>
      </c>
      <c r="E18" s="88"/>
    </row>
    <row r="19" spans="2:6" x14ac:dyDescent="0.25">
      <c r="B19" s="88">
        <v>4096</v>
      </c>
      <c r="C19" s="146" t="s">
        <v>155</v>
      </c>
      <c r="D19" s="88"/>
      <c r="E19" s="88"/>
    </row>
    <row r="20" spans="2:6" x14ac:dyDescent="0.25">
      <c r="B20" s="88">
        <v>4112</v>
      </c>
      <c r="C20" s="88"/>
      <c r="D20" s="88"/>
      <c r="E20" s="88" t="s">
        <v>89</v>
      </c>
    </row>
    <row r="21" spans="2:6" x14ac:dyDescent="0.25">
      <c r="B21" s="88">
        <v>6152</v>
      </c>
      <c r="C21" s="88"/>
      <c r="D21" s="88"/>
      <c r="E21" s="88" t="s">
        <v>89</v>
      </c>
    </row>
    <row r="22" spans="2:6" x14ac:dyDescent="0.25">
      <c r="B22" s="88">
        <v>7136</v>
      </c>
      <c r="C22" s="88"/>
      <c r="D22" s="88" t="s">
        <v>89</v>
      </c>
      <c r="E22" s="88"/>
    </row>
    <row r="23" spans="2:6" x14ac:dyDescent="0.25">
      <c r="B23" s="88">
        <v>7156</v>
      </c>
      <c r="C23" s="88" t="s">
        <v>156</v>
      </c>
      <c r="D23" s="88"/>
      <c r="E23" s="88"/>
    </row>
    <row r="24" spans="2:6" x14ac:dyDescent="0.25">
      <c r="B24" s="88">
        <v>8192</v>
      </c>
      <c r="C24" s="88"/>
      <c r="D24" s="88"/>
      <c r="E24" s="88" t="s">
        <v>89</v>
      </c>
      <c r="F24" s="17" t="s">
        <v>100</v>
      </c>
    </row>
    <row r="25" spans="2:6" x14ac:dyDescent="0.25">
      <c r="B25" s="88">
        <v>8920</v>
      </c>
      <c r="C25" s="88"/>
      <c r="D25" s="88" t="s">
        <v>89</v>
      </c>
      <c r="E25" s="88"/>
      <c r="F25" t="s">
        <v>101</v>
      </c>
    </row>
    <row r="26" spans="2:6" x14ac:dyDescent="0.25">
      <c r="B26" s="88">
        <v>10232</v>
      </c>
      <c r="C26" s="88"/>
      <c r="D26" s="88"/>
      <c r="E26" s="88" t="s">
        <v>89</v>
      </c>
    </row>
    <row r="27" spans="2:6" x14ac:dyDescent="0.25">
      <c r="B27" s="88">
        <v>16352</v>
      </c>
      <c r="C27" s="88"/>
      <c r="D27" s="88"/>
      <c r="E27" s="88" t="s">
        <v>89</v>
      </c>
    </row>
    <row r="28" spans="2:6" x14ac:dyDescent="0.25">
      <c r="B28" s="88">
        <v>16384</v>
      </c>
      <c r="C28" s="146" t="s">
        <v>155</v>
      </c>
      <c r="D28" s="88" t="s">
        <v>89</v>
      </c>
      <c r="E28" s="88"/>
    </row>
    <row r="29" spans="2:6" x14ac:dyDescent="0.25">
      <c r="B29" s="88">
        <v>32672</v>
      </c>
      <c r="C29" s="88"/>
      <c r="D29" s="88"/>
      <c r="E29" s="88" t="s">
        <v>89</v>
      </c>
    </row>
    <row r="32" spans="2:6" x14ac:dyDescent="0.25">
      <c r="B32" s="48"/>
    </row>
    <row r="34" spans="2:4" x14ac:dyDescent="0.25">
      <c r="B34" s="49"/>
    </row>
    <row r="35" spans="2:4" x14ac:dyDescent="0.25">
      <c r="B35" s="17"/>
      <c r="D35" s="17"/>
    </row>
    <row r="41" spans="2:4" x14ac:dyDescent="0.25">
      <c r="C41" s="49"/>
    </row>
    <row r="42" spans="2:4" x14ac:dyDescent="0.25">
      <c r="C42" s="49"/>
    </row>
  </sheetData>
  <sheetProtection sheet="1" objects="1" scenarios="1"/>
  <dataValidations count="4">
    <dataValidation allowBlank="1" showInputMessage="1" showErrorMessage="1" prompt="The size of a single data unit presented by the client to be sent by ION - normally bundle size for Node 1, or Report Segment for Node 2" sqref="C19 C28" xr:uid="{00000000-0002-0000-0300-000000000000}"/>
    <dataValidation type="list" allowBlank="1" showInputMessage="1" showErrorMessage="1" sqref="C3:D3" xr:uid="{00000000-0002-0000-0300-000001000000}">
      <formula1>$B$15:$B$29</formula1>
    </dataValidation>
    <dataValidation allowBlank="1" showErrorMessage="1" prompt="The size of a single data unit presented by the client to be sent by ION - normally bundle size for Node 1, or Report Segment for Node 2" sqref="B15:C15" xr:uid="{3F540C6C-7998-F844-815E-CBA7DDA98B11}"/>
    <dataValidation allowBlank="1" showInputMessage="1" showErrorMessage="1" prompt="The size of a single data unit presented by the client to be sent by ION - normally bundle size for node sending data 1 or report segment size for a node receiving data through LTP." sqref="B14" xr:uid="{85E78B1F-1981-0946-9FAB-6A4A3CAD5B93}"/>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L75"/>
  <sheetViews>
    <sheetView showGridLines="0" tabSelected="1" topLeftCell="A65" zoomScale="206" zoomScaleNormal="206" workbookViewId="0">
      <selection activeCell="C55" sqref="C55"/>
    </sheetView>
  </sheetViews>
  <sheetFormatPr defaultColWidth="8.85546875" defaultRowHeight="15" x14ac:dyDescent="0.25"/>
  <cols>
    <col min="1" max="1" width="4.42578125" customWidth="1"/>
    <col min="2" max="2" width="58.140625" customWidth="1"/>
    <col min="3" max="3" width="21" customWidth="1"/>
    <col min="4" max="4" width="19.28515625" customWidth="1"/>
    <col min="5" max="5" width="36" style="22" customWidth="1"/>
    <col min="6" max="6" width="14.140625" style="22" customWidth="1"/>
    <col min="7" max="7" width="12.28515625" customWidth="1"/>
    <col min="8" max="8" width="67.42578125" customWidth="1"/>
    <col min="9" max="9" width="10.28515625" customWidth="1"/>
    <col min="10" max="10" width="47.7109375" customWidth="1"/>
    <col min="11" max="11" width="17" customWidth="1"/>
    <col min="12" max="12" width="14.28515625" customWidth="1"/>
    <col min="13" max="13" width="48.7109375" customWidth="1"/>
    <col min="14" max="14" width="26.85546875" customWidth="1"/>
  </cols>
  <sheetData>
    <row r="2" spans="1:12" ht="30" x14ac:dyDescent="0.25">
      <c r="A2">
        <v>0</v>
      </c>
      <c r="B2" s="40" t="s">
        <v>22</v>
      </c>
      <c r="C2" s="29">
        <v>240</v>
      </c>
      <c r="D2" s="141" t="s">
        <v>150</v>
      </c>
      <c r="F2" s="89" t="s">
        <v>81</v>
      </c>
      <c r="H2" s="90" t="s">
        <v>23</v>
      </c>
    </row>
    <row r="3" spans="1:12" x14ac:dyDescent="0.25">
      <c r="B3" s="40" t="s">
        <v>24</v>
      </c>
      <c r="C3" s="91" t="e">
        <f ca="1">Link!C9</f>
        <v>#NAME?</v>
      </c>
      <c r="D3" s="140" t="s">
        <v>148</v>
      </c>
      <c r="F3" s="53" t="s">
        <v>25</v>
      </c>
      <c r="G3" s="12">
        <v>72000000</v>
      </c>
      <c r="H3" s="13">
        <f>ROUND(Main!G3/299337.984,0)</f>
        <v>241</v>
      </c>
    </row>
    <row r="4" spans="1:12" x14ac:dyDescent="0.25">
      <c r="B4" s="41" t="s">
        <v>77</v>
      </c>
      <c r="C4" s="29">
        <v>25</v>
      </c>
      <c r="D4" s="140" t="s">
        <v>149</v>
      </c>
    </row>
    <row r="6" spans="1:12" x14ac:dyDescent="0.25">
      <c r="C6" s="90" t="s">
        <v>73</v>
      </c>
      <c r="D6" s="92" t="s">
        <v>74</v>
      </c>
      <c r="E6" s="93" t="s">
        <v>147</v>
      </c>
      <c r="H6" s="94" t="s">
        <v>64</v>
      </c>
    </row>
    <row r="7" spans="1:12" x14ac:dyDescent="0.25">
      <c r="A7">
        <v>1</v>
      </c>
      <c r="B7" s="10" t="s">
        <v>26</v>
      </c>
      <c r="C7" s="14">
        <v>1</v>
      </c>
      <c r="D7" s="23">
        <v>2</v>
      </c>
      <c r="E7" s="95"/>
      <c r="H7" s="96" t="str">
        <f>IF(Main!C2&lt;6,"OWLT is low, consider using TCP","")</f>
        <v/>
      </c>
      <c r="I7" s="97"/>
      <c r="J7" s="97"/>
      <c r="K7" s="97"/>
      <c r="L7" s="98"/>
    </row>
    <row r="8" spans="1:12" x14ac:dyDescent="0.25">
      <c r="A8">
        <v>2</v>
      </c>
      <c r="B8" s="10" t="s">
        <v>27</v>
      </c>
      <c r="C8" s="14" t="s">
        <v>28</v>
      </c>
      <c r="D8" s="23" t="s">
        <v>29</v>
      </c>
      <c r="E8" s="95"/>
      <c r="H8" s="96" t="str">
        <f>IF(OR(Main!C24&gt;1,Main!D24&gt;1),"Aggregation time limit &gt; 1 may cause delayed transmission of small blocks","")</f>
        <v/>
      </c>
      <c r="L8" s="99"/>
    </row>
    <row r="9" spans="1:12" x14ac:dyDescent="0.25">
      <c r="A9">
        <v>3</v>
      </c>
      <c r="B9" s="10" t="s">
        <v>30</v>
      </c>
      <c r="C9" s="14">
        <v>1113</v>
      </c>
      <c r="D9" s="23">
        <v>1113</v>
      </c>
      <c r="E9" s="95"/>
      <c r="H9" s="100" t="str">
        <f>IF(C29&gt;D19,"Number of ACKS (RS) per second may exceed Max % available for acks on the return path","")</f>
        <v/>
      </c>
      <c r="L9" s="99"/>
    </row>
    <row r="10" spans="1:12" x14ac:dyDescent="0.25">
      <c r="A10">
        <v>4</v>
      </c>
      <c r="B10" s="11" t="s">
        <v>31</v>
      </c>
      <c r="C10" s="14">
        <v>64000</v>
      </c>
      <c r="D10" s="23">
        <v>1000</v>
      </c>
      <c r="E10" s="101"/>
      <c r="H10" s="100" t="e">
        <f ca="1">IF(C3 &gt; 10^-6, "Loss is high - Consider a small aggregation size limit to increase the success probability of receiving entire LTP blocks","")</f>
        <v>#NAME?</v>
      </c>
      <c r="L10" s="99"/>
    </row>
    <row r="11" spans="1:12" x14ac:dyDescent="0.25">
      <c r="A11">
        <v>5</v>
      </c>
      <c r="B11" s="11" t="s">
        <v>32</v>
      </c>
      <c r="C11" s="14">
        <v>60</v>
      </c>
      <c r="D11" s="23">
        <v>60</v>
      </c>
      <c r="E11" s="95"/>
      <c r="H11" s="100" t="str">
        <f>IF(C13&lt;C14,"Node X Aggregation Size Limit Too Low (6), either increase (6) or (7)","")</f>
        <v/>
      </c>
      <c r="L11" s="99"/>
    </row>
    <row r="12" spans="1:12" x14ac:dyDescent="0.25">
      <c r="H12" s="100" t="str">
        <f>IF(D13&lt;D14,"Node Y Aggregation Size Limit Too Low (6), either increase (6) or (7)","")</f>
        <v/>
      </c>
      <c r="L12" s="99"/>
    </row>
    <row r="13" spans="1:12" x14ac:dyDescent="0.25">
      <c r="A13">
        <v>6</v>
      </c>
      <c r="B13" s="10" t="s">
        <v>33</v>
      </c>
      <c r="C13" s="14">
        <v>15000</v>
      </c>
      <c r="D13" s="23">
        <v>40</v>
      </c>
      <c r="E13" s="101"/>
      <c r="F13" s="102"/>
      <c r="G13" s="49"/>
      <c r="H13" s="100" t="str">
        <f>IF(C14/C16&gt;C24,"Node X Aggregation Time Limit Too Short (10),  increase report link rate (7) or link rate allocation (8) for node Y","")</f>
        <v/>
      </c>
      <c r="L13" s="99"/>
    </row>
    <row r="14" spans="1:12" ht="26.25" x14ac:dyDescent="0.25">
      <c r="B14" s="11" t="s">
        <v>78</v>
      </c>
      <c r="C14" s="13">
        <f>ROUND(Main!C16/Main!D19,0)</f>
        <v>13889</v>
      </c>
      <c r="D14" s="24">
        <f>ROUND(Main!D16/Main!C19,0)</f>
        <v>5</v>
      </c>
      <c r="E14" s="103" t="s">
        <v>117</v>
      </c>
      <c r="F14" s="102"/>
      <c r="H14" s="100" t="str">
        <f>IF(D14/D16&gt;D24,"Node Y Aggregation Time Limit Too Short (10),  increase report link rate (7) or link rate allocation (8) for node X","")</f>
        <v/>
      </c>
      <c r="L14" s="99"/>
    </row>
    <row r="15" spans="1:12" x14ac:dyDescent="0.25">
      <c r="C15" s="104"/>
      <c r="D15" s="104"/>
      <c r="E15" s="105"/>
      <c r="H15" s="106" t="e">
        <f ca="1">IF(C40&gt;C18,"Node X cannot sustain estimated report rates for node Y after accounting for retransmission requests, need to increase allocation (8) or increase link rate (7)","")</f>
        <v>#NAME?</v>
      </c>
      <c r="L15" s="107"/>
    </row>
    <row r="16" spans="1:12" x14ac:dyDescent="0.25">
      <c r="A16">
        <v>7</v>
      </c>
      <c r="B16" s="11" t="s">
        <v>37</v>
      </c>
      <c r="C16" s="14">
        <v>125000</v>
      </c>
      <c r="D16" s="23">
        <v>250</v>
      </c>
      <c r="E16" s="103" t="s">
        <v>131</v>
      </c>
      <c r="H16" s="106" t="e">
        <f ca="1">IF(D40&gt;D18,"Node Y cannot sustain estimated report rates for node X after accounting for retransmission requests, need to increase allocation (8) or increase link rate (7)","")</f>
        <v>#NAME?</v>
      </c>
      <c r="L16" s="107"/>
    </row>
    <row r="17" spans="1:12" x14ac:dyDescent="0.25">
      <c r="A17">
        <v>8</v>
      </c>
      <c r="B17" s="11" t="s">
        <v>79</v>
      </c>
      <c r="C17" s="15">
        <v>0.01</v>
      </c>
      <c r="D17" s="52">
        <v>0.9</v>
      </c>
      <c r="E17" s="108"/>
      <c r="H17" s="106" t="e">
        <f ca="1">IF(OR(C40&lt;0,C40&gt;C18),"X-&gt;Y link cannot support report traffic for Y-&gt;X LTP session ","")</f>
        <v>#NAME?</v>
      </c>
      <c r="L17" s="107"/>
    </row>
    <row r="18" spans="1:12" x14ac:dyDescent="0.25">
      <c r="B18" s="11" t="s">
        <v>113</v>
      </c>
      <c r="C18" s="13">
        <f>Main!C16*Main!C17</f>
        <v>1250</v>
      </c>
      <c r="D18" s="24">
        <f>Main!D16*Main!D17</f>
        <v>225</v>
      </c>
      <c r="E18" s="109"/>
      <c r="H18" s="106" t="e">
        <f ca="1">IF(OR(D40&lt;0,D40&gt;D18),"Y-&gt;X link cannot support report traffic for X-&gt;Y LTP session ","")</f>
        <v>#NAME?</v>
      </c>
      <c r="L18" s="107"/>
    </row>
    <row r="19" spans="1:12" ht="18.95" customHeight="1" x14ac:dyDescent="0.25">
      <c r="B19" s="11" t="s">
        <v>116</v>
      </c>
      <c r="C19" s="13">
        <f>Main!C18/Main!$C$4</f>
        <v>50</v>
      </c>
      <c r="D19" s="24">
        <f>Main!D18/Main!$C$4</f>
        <v>9</v>
      </c>
      <c r="E19" s="95"/>
      <c r="F19" s="102"/>
      <c r="H19" s="110" t="str">
        <f>IF(C47&lt;0.9,"Estimated utilization for X-&gt;Y link is under 90%, adjust (12) Max number of export sessions","")</f>
        <v/>
      </c>
      <c r="L19" s="107"/>
    </row>
    <row r="20" spans="1:12" x14ac:dyDescent="0.25">
      <c r="B20" s="111"/>
      <c r="C20" s="104"/>
      <c r="D20" s="104"/>
      <c r="H20" s="110" t="str">
        <f>IF(D47&lt;0.9,"Estimated utilization for Y-&gt;X link is under 90%, adjust (12) Max number of export sessions","")</f>
        <v/>
      </c>
      <c r="L20" s="107"/>
    </row>
    <row r="21" spans="1:12" x14ac:dyDescent="0.25">
      <c r="A21">
        <v>9</v>
      </c>
      <c r="B21" s="11" t="s">
        <v>40</v>
      </c>
      <c r="C21" s="15">
        <v>1</v>
      </c>
      <c r="D21" s="52">
        <v>1</v>
      </c>
      <c r="E21" s="108"/>
      <c r="H21" s="106"/>
      <c r="L21" s="107"/>
    </row>
    <row r="22" spans="1:12" x14ac:dyDescent="0.25">
      <c r="A22">
        <v>13</v>
      </c>
      <c r="B22" s="11" t="s">
        <v>56</v>
      </c>
      <c r="C22" s="13">
        <f>Main!C16*Main!C21</f>
        <v>125000</v>
      </c>
      <c r="D22" s="24">
        <f>Main!D16*Main!D21</f>
        <v>250</v>
      </c>
      <c r="E22" s="95"/>
      <c r="H22" s="106"/>
      <c r="L22" s="107"/>
    </row>
    <row r="23" spans="1:12" x14ac:dyDescent="0.25">
      <c r="C23" s="104"/>
      <c r="D23" s="104"/>
      <c r="F23" s="89"/>
      <c r="H23" s="106"/>
      <c r="J23" s="17"/>
      <c r="L23" s="107"/>
    </row>
    <row r="24" spans="1:12" x14ac:dyDescent="0.25">
      <c r="A24">
        <v>10</v>
      </c>
      <c r="B24" s="10" t="s">
        <v>41</v>
      </c>
      <c r="C24" s="23">
        <v>1</v>
      </c>
      <c r="D24" s="29">
        <v>1</v>
      </c>
      <c r="E24" s="103" t="s">
        <v>135</v>
      </c>
      <c r="F24" s="112"/>
      <c r="H24" s="113"/>
      <c r="I24" s="114"/>
      <c r="J24" s="114"/>
      <c r="K24" s="114"/>
      <c r="L24" s="115"/>
    </row>
    <row r="25" spans="1:12" x14ac:dyDescent="0.25">
      <c r="A25">
        <v>22</v>
      </c>
      <c r="B25" s="16" t="s">
        <v>42</v>
      </c>
      <c r="C25" s="24">
        <f>Main!C24</f>
        <v>1</v>
      </c>
      <c r="D25" s="31">
        <f>Main!D24</f>
        <v>1</v>
      </c>
      <c r="E25" s="95"/>
    </row>
    <row r="26" spans="1:12" x14ac:dyDescent="0.25">
      <c r="C26" s="104"/>
      <c r="D26" s="104"/>
    </row>
    <row r="27" spans="1:12" x14ac:dyDescent="0.25">
      <c r="A27">
        <v>15</v>
      </c>
      <c r="B27" s="11" t="s">
        <v>43</v>
      </c>
      <c r="C27" s="25">
        <f>MAX(Main!C10,MIN(Main!C13,(Main!C24*Main!C22)))</f>
        <v>64000</v>
      </c>
      <c r="D27" s="30">
        <f>MAX(Main!D10,MIN(Main!D13,(Main!D24*Main!D22)))</f>
        <v>1000</v>
      </c>
      <c r="E27" s="108"/>
      <c r="F27" s="112"/>
      <c r="H27" s="144" t="s">
        <v>153</v>
      </c>
    </row>
    <row r="28" spans="1:12" x14ac:dyDescent="0.25">
      <c r="B28" s="11" t="s">
        <v>139</v>
      </c>
      <c r="C28" s="25">
        <f>C10/C27</f>
        <v>1</v>
      </c>
      <c r="D28" s="25">
        <f>D10/D27</f>
        <v>1</v>
      </c>
      <c r="E28" s="108"/>
      <c r="F28" s="112"/>
      <c r="H28" s="120"/>
    </row>
    <row r="29" spans="1:12" ht="18" customHeight="1" x14ac:dyDescent="0.25">
      <c r="A29">
        <v>16</v>
      </c>
      <c r="B29" s="11" t="s">
        <v>44</v>
      </c>
      <c r="C29" s="26">
        <f>Main!C22/Main!C27</f>
        <v>1.953125</v>
      </c>
      <c r="D29" s="32">
        <f>Main!D22/Main!D27</f>
        <v>0.25</v>
      </c>
      <c r="E29" s="95"/>
      <c r="H29" s="145" t="str">
        <f>"Currently OWLT is shown to be "&amp;C2&amp;" seconds, however, it is recommended that"</f>
        <v>Currently OWLT is shown to be 240 seconds, however, it is recommended that</v>
      </c>
    </row>
    <row r="30" spans="1:12" x14ac:dyDescent="0.25">
      <c r="B30" s="19"/>
      <c r="C30" s="116"/>
      <c r="D30" s="116"/>
      <c r="H30" s="120" t="str">
        <f>"a 1 or 2-second margin be added to the range command to account for processing delay."</f>
        <v>a 1 or 2-second margin be added to the range command to account for processing delay.</v>
      </c>
    </row>
    <row r="31" spans="1:12" x14ac:dyDescent="0.25">
      <c r="A31">
        <v>11</v>
      </c>
      <c r="B31" s="10" t="s">
        <v>97</v>
      </c>
      <c r="C31" s="117">
        <f>Link!C6</f>
        <v>1800</v>
      </c>
      <c r="D31" s="118">
        <f>Link!D6</f>
        <v>1400</v>
      </c>
      <c r="E31" s="103" t="s">
        <v>140</v>
      </c>
      <c r="H31" s="120" t="str">
        <f>"Alternatively, a queue latency can be added to the span command in ltprc."</f>
        <v>Alternatively, a queue latency can be added to the span command in ltprc.</v>
      </c>
    </row>
    <row r="32" spans="1:12" x14ac:dyDescent="0.25">
      <c r="A32">
        <v>18</v>
      </c>
      <c r="B32" s="11" t="s">
        <v>45</v>
      </c>
      <c r="C32" s="25">
        <f>(MAX(1,Main!C27/Main!C31))</f>
        <v>35.555555555555557</v>
      </c>
      <c r="D32" s="30">
        <f>(MAX(1,Main!D27/Main!D31))</f>
        <v>1</v>
      </c>
      <c r="E32" s="95"/>
      <c r="H32" s="120"/>
    </row>
    <row r="33" spans="1:10" x14ac:dyDescent="0.25">
      <c r="B33" s="11" t="s">
        <v>46</v>
      </c>
      <c r="C33" s="25">
        <f>Main!C29*Main!C32</f>
        <v>69.444444444444443</v>
      </c>
      <c r="D33" s="30">
        <f>Main!D29*Main!D32</f>
        <v>0.25</v>
      </c>
      <c r="E33" s="108"/>
      <c r="H33" s="124"/>
    </row>
    <row r="34" spans="1:10" ht="39" x14ac:dyDescent="0.25">
      <c r="B34" s="11" t="s">
        <v>47</v>
      </c>
      <c r="C34" s="24" t="e">
        <f ca="1">MIN(0.99,1-POWER((1-Main!$C$3),(8*(Main!C31+Main!C11))))</f>
        <v>#NAME?</v>
      </c>
      <c r="D34" s="31" t="e">
        <f ca="1">MIN(0.99,1-POWER((1-Main!$C$3),(8*(Main!D31+Main!D11))))</f>
        <v>#NAME?</v>
      </c>
      <c r="E34" s="103" t="s">
        <v>104</v>
      </c>
    </row>
    <row r="35" spans="1:10" x14ac:dyDescent="0.25">
      <c r="B35" s="11" t="s">
        <v>48</v>
      </c>
      <c r="C35" s="27" t="e">
        <f ca="1">Main!C33*Main!C34</f>
        <v>#NAME?</v>
      </c>
      <c r="D35" s="34" t="e">
        <f ca="1">Main!D33*Main!D34</f>
        <v>#NAME?</v>
      </c>
      <c r="E35" s="95"/>
    </row>
    <row r="36" spans="1:10" x14ac:dyDescent="0.25">
      <c r="B36" s="11" t="s">
        <v>49</v>
      </c>
      <c r="C36" s="28" t="e">
        <f ca="1">Main!C33-Main!C35</f>
        <v>#NAME?</v>
      </c>
      <c r="D36" s="35" t="e">
        <f ca="1">Main!D33-Main!D35</f>
        <v>#NAME?</v>
      </c>
      <c r="E36" s="95"/>
    </row>
    <row r="37" spans="1:10" x14ac:dyDescent="0.25">
      <c r="B37" s="11" t="s">
        <v>50</v>
      </c>
      <c r="C37" s="28" t="e">
        <f ca="1">Main!C36/Main!C32</f>
        <v>#NAME?</v>
      </c>
      <c r="D37" s="35" t="e">
        <f ca="1">Main!D36/Main!D32</f>
        <v>#NAME?</v>
      </c>
      <c r="E37" s="95"/>
      <c r="H37" s="17" t="str">
        <f>Main!$C$6&amp;" ltpadmin file"</f>
        <v>Node X ltpadmin file</v>
      </c>
      <c r="J37" s="17" t="str">
        <f>Main!$D$6&amp;" ltpadmin file"</f>
        <v>Node Y ltpadmin file</v>
      </c>
    </row>
    <row r="38" spans="1:10" x14ac:dyDescent="0.25">
      <c r="A38">
        <v>19</v>
      </c>
      <c r="B38" s="16" t="s">
        <v>51</v>
      </c>
      <c r="C38" s="33" t="e">
        <f ca="1">Main!C37/Main!C29</f>
        <v>#NAME?</v>
      </c>
      <c r="D38" s="36" t="e">
        <f ca="1">Main!D37/Main!D29</f>
        <v>#NAME?</v>
      </c>
      <c r="E38" s="95"/>
      <c r="H38" s="119" t="str">
        <f>"1 "&amp;Main!C42</f>
        <v>1 1000</v>
      </c>
      <c r="J38" s="119" t="str">
        <f>"1 "&amp;Main!D42</f>
        <v>1 1000</v>
      </c>
    </row>
    <row r="39" spans="1:10" x14ac:dyDescent="0.25">
      <c r="B39" s="19"/>
      <c r="C39" s="116"/>
      <c r="D39" s="116"/>
      <c r="H39" s="120"/>
      <c r="J39" s="120"/>
    </row>
    <row r="40" spans="1:10" x14ac:dyDescent="0.25">
      <c r="A40">
        <v>17</v>
      </c>
      <c r="B40" s="16" t="s">
        <v>80</v>
      </c>
      <c r="C40" s="20" t="e">
        <f ca="1">Main!C4*Main!D29*twoSigmaNs(D34,D32)</f>
        <v>#NAME?</v>
      </c>
      <c r="D40" s="20" t="e">
        <f ca="1">Main!C4*Main!C29*twoSigmaNs(C34,C32)</f>
        <v>#NAME?</v>
      </c>
      <c r="E40" s="103" t="s">
        <v>122</v>
      </c>
      <c r="F40" s="121"/>
      <c r="H40" s="120" t="str">
        <f>"a span "&amp;Main!D7&amp;" "&amp;Main!C42&amp;" "&amp;Main!D42&amp;" "&amp;Main!C31&amp;" "&amp;Main!C13&amp;" "&amp;Main!C24&amp;" 'udplso "&amp;Main!D8&amp;":"&amp;Main!D9&amp;"' 2"</f>
        <v>a span 2 1000 1000 1800 15000 1 'udplso 10.0.1.3:1113' 2</v>
      </c>
      <c r="J40" s="120" t="str">
        <f>"a span "&amp;Main!C7&amp;" "&amp;Main!D42&amp;" "&amp;Main!C42&amp;" "&amp;Main!D31&amp;" "&amp;Main!D13&amp;" "&amp;Main!D24&amp;" 'udplso "&amp;Main!C8&amp;":"&amp;Main!C9&amp;"' 2"</f>
        <v>a span 1 1000 1000 1400 40 1 'udplso 10.0.0.1:1113' 2</v>
      </c>
    </row>
    <row r="41" spans="1:10" x14ac:dyDescent="0.25">
      <c r="C41" s="104"/>
      <c r="D41" s="104"/>
      <c r="H41" s="120" t="str">
        <f>"s 'udplsi 0.0.0.0:"&amp;Main!C9&amp;"'"</f>
        <v>s 'udplsi 0.0.0.0:1113'</v>
      </c>
      <c r="J41" s="120" t="str">
        <f>"s 'udplsi 0.0.0.0:"&amp;Main!D9&amp;"'"</f>
        <v>s 'udplsi 0.0.0.0:1113'</v>
      </c>
    </row>
    <row r="42" spans="1:10" x14ac:dyDescent="0.25">
      <c r="A42">
        <v>12</v>
      </c>
      <c r="B42" s="10" t="s">
        <v>75</v>
      </c>
      <c r="C42" s="14">
        <v>1000</v>
      </c>
      <c r="D42" s="23">
        <v>1000</v>
      </c>
      <c r="E42" s="122" t="s">
        <v>107</v>
      </c>
      <c r="H42" s="123" t="e">
        <f ca="1">"m maxber "&amp;TEXT(Main!$C$3,"0.#############")</f>
        <v>#NAME?</v>
      </c>
      <c r="J42" s="124" t="e">
        <f ca="1">"m maxber "&amp;TEXT(Main!$C$3,"0.#############")</f>
        <v>#NAME?</v>
      </c>
    </row>
    <row r="43" spans="1:10" x14ac:dyDescent="0.25">
      <c r="B43" s="11" t="s">
        <v>78</v>
      </c>
      <c r="C43" s="18">
        <f>MAX(2,Main!C45/Main!C27)</f>
        <v>937.5</v>
      </c>
      <c r="D43" s="25">
        <f>MAX(2,Main!D45/Main!D27)</f>
        <v>120</v>
      </c>
      <c r="E43" s="125"/>
      <c r="H43" s="17" t="str">
        <f>Main!$C$6&amp;" bpadmin proto line"</f>
        <v>Node X bpadmin proto line</v>
      </c>
      <c r="J43" s="17" t="str">
        <f>Main!$D$6&amp;" bpadmin proto line"</f>
        <v>Node Y bpadmin proto line</v>
      </c>
    </row>
    <row r="44" spans="1:10" x14ac:dyDescent="0.25">
      <c r="B44" s="126"/>
      <c r="C44" s="104"/>
      <c r="D44" s="104"/>
      <c r="H44" s="50" t="str">
        <f>"a protocol ltp "&amp;Main!C31&amp;" 100"</f>
        <v>a protocol ltp 1800 100</v>
      </c>
      <c r="J44" s="50" t="str">
        <f>"a protocol ltp "&amp;Main!D31&amp;" 100"</f>
        <v>a protocol ltp 1400 100</v>
      </c>
    </row>
    <row r="45" spans="1:10" x14ac:dyDescent="0.25">
      <c r="A45">
        <v>14</v>
      </c>
      <c r="B45" s="11" t="s">
        <v>52</v>
      </c>
      <c r="C45" s="13">
        <f>2*Main!C2*Main!C22</f>
        <v>60000000</v>
      </c>
      <c r="D45" s="24">
        <f>2*Main!C2*Main!D22</f>
        <v>120000</v>
      </c>
      <c r="E45" s="127"/>
    </row>
    <row r="46" spans="1:10" x14ac:dyDescent="0.25">
      <c r="B46" s="11" t="s">
        <v>53</v>
      </c>
      <c r="C46" s="13">
        <f>MIN(Main!C45,Main!C42*Main!C27)</f>
        <v>60000000</v>
      </c>
      <c r="D46" s="24">
        <f>MIN(Main!D45,Main!D42*Main!D27)</f>
        <v>120000</v>
      </c>
      <c r="E46" s="122" t="s">
        <v>124</v>
      </c>
      <c r="H46" s="128" t="s">
        <v>154</v>
      </c>
    </row>
    <row r="47" spans="1:10" x14ac:dyDescent="0.25">
      <c r="A47">
        <v>21</v>
      </c>
      <c r="B47" s="16" t="s">
        <v>54</v>
      </c>
      <c r="C47" s="21">
        <f>Main!C46/Main!C45</f>
        <v>1</v>
      </c>
      <c r="D47" s="78">
        <f>Main!D46/Main!D45</f>
        <v>1</v>
      </c>
      <c r="E47" s="95"/>
    </row>
    <row r="48" spans="1:10" x14ac:dyDescent="0.25">
      <c r="A48">
        <v>20</v>
      </c>
      <c r="B48" s="11" t="s">
        <v>105</v>
      </c>
      <c r="C48" s="13">
        <f>ROUND(IF(Main!C10=0,0,Main!C46/Main!C10),0)</f>
        <v>938</v>
      </c>
      <c r="D48" s="24">
        <f>ROUND(IF(Main!D10=0,0,Main!D46/Main!D10),)</f>
        <v>120</v>
      </c>
      <c r="E48" s="95"/>
    </row>
    <row r="49" spans="1:8" x14ac:dyDescent="0.25">
      <c r="C49" s="104"/>
      <c r="D49" s="104"/>
    </row>
    <row r="50" spans="1:8" x14ac:dyDescent="0.25">
      <c r="A50">
        <v>23</v>
      </c>
      <c r="B50" s="10" t="s">
        <v>76</v>
      </c>
      <c r="C50" s="13">
        <f>Main!D42</f>
        <v>1000</v>
      </c>
      <c r="D50" s="24">
        <f>Main!C42</f>
        <v>1000</v>
      </c>
      <c r="E50" s="122" t="s">
        <v>106</v>
      </c>
    </row>
    <row r="51" spans="1:8" x14ac:dyDescent="0.25">
      <c r="B51" s="11" t="s">
        <v>55</v>
      </c>
      <c r="C51" s="13">
        <f>ROUND(MAX(1,Main!D27/Main!D31),0)</f>
        <v>1</v>
      </c>
      <c r="D51" s="24">
        <f>ROUND(MAX(1,Main!C27/Main!C31),0)</f>
        <v>36</v>
      </c>
      <c r="E51" s="122" t="s">
        <v>106</v>
      </c>
      <c r="H51" s="49"/>
    </row>
    <row r="53" spans="1:8" ht="24" x14ac:dyDescent="0.25">
      <c r="A53">
        <v>24</v>
      </c>
      <c r="B53" s="71" t="s">
        <v>164</v>
      </c>
      <c r="C53" s="74">
        <v>1200</v>
      </c>
      <c r="D53" s="129">
        <f>C53</f>
        <v>1200</v>
      </c>
      <c r="E53" s="130" t="s">
        <v>136</v>
      </c>
    </row>
    <row r="54" spans="1:8" x14ac:dyDescent="0.25">
      <c r="B54" s="11" t="s">
        <v>125</v>
      </c>
      <c r="C54" s="137">
        <v>32</v>
      </c>
      <c r="D54" s="138">
        <v>32</v>
      </c>
      <c r="E54" s="95"/>
    </row>
    <row r="55" spans="1:8" x14ac:dyDescent="0.25">
      <c r="B55" s="11" t="s">
        <v>138</v>
      </c>
      <c r="C55" s="75">
        <f>C53*C29</f>
        <v>2343.75</v>
      </c>
      <c r="D55" s="75">
        <f>D53*D29</f>
        <v>300</v>
      </c>
      <c r="E55" s="131"/>
    </row>
    <row r="56" spans="1:8" x14ac:dyDescent="0.25">
      <c r="B56" s="11" t="s">
        <v>126</v>
      </c>
      <c r="C56" s="25">
        <f>C55*C27</f>
        <v>150000000</v>
      </c>
      <c r="D56" s="25">
        <f>D55*D27</f>
        <v>300000</v>
      </c>
      <c r="E56" s="108"/>
      <c r="F56" s="49"/>
    </row>
    <row r="57" spans="1:8" x14ac:dyDescent="0.25">
      <c r="B57" s="11" t="s">
        <v>144</v>
      </c>
      <c r="C57" s="25">
        <f>IF(C53&lt;(2*H3),C55*C32*19*10+48000,(2*H3)/C29*C32*19*10+4800+(C53-(2*H3))/C29*C28*1560)</f>
        <v>2245443.9822222223</v>
      </c>
      <c r="D57" s="25">
        <f>IF(D53&lt;(2*I3),D55*D32*19*10+48000,(2*I3)/D29*D32*19*10+4800+(D53-(2*I3))/D29*D28*1560)</f>
        <v>7492800</v>
      </c>
      <c r="E57" s="95"/>
      <c r="F57" s="49"/>
    </row>
    <row r="58" spans="1:8" ht="26.25" x14ac:dyDescent="0.25">
      <c r="B58" s="11" t="s">
        <v>145</v>
      </c>
      <c r="C58" s="25">
        <f>D57</f>
        <v>7492800</v>
      </c>
      <c r="D58" s="30">
        <f>C57</f>
        <v>2245443.9822222223</v>
      </c>
      <c r="E58" s="132" t="s">
        <v>141</v>
      </c>
      <c r="F58" s="49"/>
    </row>
    <row r="59" spans="1:8" x14ac:dyDescent="0.25">
      <c r="B59" s="11" t="s">
        <v>146</v>
      </c>
      <c r="C59" s="25">
        <f>C57+C58</f>
        <v>9738243.9822222218</v>
      </c>
      <c r="D59" s="25">
        <f>D57+D58</f>
        <v>9738243.9822222218</v>
      </c>
      <c r="E59" s="95"/>
    </row>
    <row r="60" spans="1:8" ht="27.95" customHeight="1" x14ac:dyDescent="0.25">
      <c r="B60" s="76" t="s">
        <v>129</v>
      </c>
      <c r="C60" s="25">
        <f>C59+C56</f>
        <v>159738243.98222223</v>
      </c>
      <c r="D60" s="25">
        <f>D59+D56</f>
        <v>10038243.982222222</v>
      </c>
      <c r="E60" s="132" t="s">
        <v>130</v>
      </c>
    </row>
    <row r="61" spans="1:8" x14ac:dyDescent="0.25">
      <c r="B61" s="11" t="s">
        <v>127</v>
      </c>
      <c r="C61" s="139">
        <v>0.3</v>
      </c>
      <c r="D61" s="139">
        <v>0.3</v>
      </c>
      <c r="E61" s="133" t="s">
        <v>137</v>
      </c>
    </row>
    <row r="62" spans="1:8" ht="26.25" x14ac:dyDescent="0.25">
      <c r="B62" s="77" t="s">
        <v>132</v>
      </c>
      <c r="C62" s="24">
        <f>INT(C59/(C54/8)/0.4 * (1+C61))</f>
        <v>7912323</v>
      </c>
      <c r="D62" s="24">
        <f>INT(D59/(D54/8)/0.4 * (1+D61))</f>
        <v>7912323</v>
      </c>
      <c r="E62" s="103" t="s">
        <v>142</v>
      </c>
    </row>
    <row r="63" spans="1:8" ht="29.1" customHeight="1" x14ac:dyDescent="0.25">
      <c r="B63" s="151" t="s">
        <v>133</v>
      </c>
      <c r="C63" s="152">
        <f>INT(C62+C56/(C54/8)/0.4)</f>
        <v>101662323</v>
      </c>
      <c r="D63" s="152">
        <f>INT(D62+D56/(D54/8)/0.4)</f>
        <v>8099823</v>
      </c>
      <c r="E63" s="103" t="s">
        <v>143</v>
      </c>
    </row>
    <row r="64" spans="1:8" ht="29.1" customHeight="1" x14ac:dyDescent="0.25">
      <c r="B64" s="153" t="s">
        <v>162</v>
      </c>
      <c r="C64" s="30">
        <f>3*C62*(C54/8)*0.4/10</f>
        <v>3797915.04</v>
      </c>
      <c r="D64" s="30">
        <f>3*D62*(D54/8)*0.4/10</f>
        <v>3797915.04</v>
      </c>
      <c r="E64" s="150"/>
    </row>
    <row r="65" spans="2:11" ht="102.75" x14ac:dyDescent="0.25">
      <c r="B65" s="134" t="s">
        <v>134</v>
      </c>
    </row>
    <row r="66" spans="2:11" x14ac:dyDescent="0.25">
      <c r="B66" s="134"/>
      <c r="E66" s="135" t="s">
        <v>34</v>
      </c>
    </row>
    <row r="67" spans="2:11" x14ac:dyDescent="0.25">
      <c r="E67" s="136" t="s">
        <v>35</v>
      </c>
    </row>
    <row r="68" spans="2:11" x14ac:dyDescent="0.25">
      <c r="E68" s="54" t="s">
        <v>36</v>
      </c>
    </row>
    <row r="69" spans="2:11" x14ac:dyDescent="0.25">
      <c r="E69" s="55" t="s">
        <v>38</v>
      </c>
    </row>
    <row r="70" spans="2:11" x14ac:dyDescent="0.25">
      <c r="C70" s="5"/>
      <c r="D70" s="5"/>
      <c r="E70" s="56" t="s">
        <v>39</v>
      </c>
      <c r="F70" s="51"/>
      <c r="G70" s="5"/>
      <c r="H70" s="5"/>
      <c r="I70" s="5"/>
      <c r="J70" s="5"/>
      <c r="K70" s="5"/>
    </row>
    <row r="71" spans="2:11" x14ac:dyDescent="0.25">
      <c r="C71" s="5"/>
      <c r="D71" s="5"/>
      <c r="E71" s="51"/>
      <c r="F71" s="51"/>
      <c r="G71" s="5"/>
      <c r="H71" s="5"/>
      <c r="I71" s="5"/>
      <c r="J71" s="5"/>
      <c r="K71" s="5"/>
    </row>
    <row r="72" spans="2:11" x14ac:dyDescent="0.25">
      <c r="B72" s="5" t="s">
        <v>3</v>
      </c>
      <c r="C72" s="5"/>
      <c r="D72" s="5"/>
      <c r="E72" s="51"/>
      <c r="F72" s="51"/>
      <c r="G72" s="5"/>
      <c r="H72" s="5"/>
      <c r="I72" s="5"/>
      <c r="J72" s="5"/>
      <c r="K72" s="5"/>
    </row>
    <row r="73" spans="2:11" x14ac:dyDescent="0.25">
      <c r="B73" s="5" t="s">
        <v>4</v>
      </c>
    </row>
    <row r="74" spans="2:11" x14ac:dyDescent="0.25">
      <c r="B74" s="5" t="s">
        <v>5</v>
      </c>
    </row>
    <row r="75" spans="2:11" x14ac:dyDescent="0.25">
      <c r="B75" s="57"/>
    </row>
  </sheetData>
  <dataValidations count="25">
    <dataValidation allowBlank="1" showInputMessage="1" showErrorMessage="1" prompt="The maximum number of LTP sessions ION can create for use across all spans. A smaller value reduces the overall heap size." sqref="B42" xr:uid="{00000000-0002-0000-0200-000000000000}"/>
    <dataValidation allowBlank="1" showInputMessage="1" showErrorMessage="1" prompt="Calculates the One Way Light Time (OWLT) based on the distance / speed of light" sqref="H2" xr:uid="{00000000-0002-0000-0200-000001000000}">
      <formula1>0</formula1>
      <formula2>0</formula2>
    </dataValidation>
    <dataValidation allowBlank="1" showInputMessage="1" showErrorMessage="1" prompt="The expected overhead per segment based on the link service protocol used underneath LTP. E.G. CCSDS protocol or UDP." sqref="B11" xr:uid="{00000000-0002-0000-0200-000002000000}"/>
    <dataValidation allowBlank="1" showInputMessage="1" showErrorMessage="1" prompt="The size of a single data unit presented by the client to be sent by ION - normally bundle size for Node 1, or Report Segment for Node 2" sqref="B10" xr:uid="{00000000-0002-0000-0200-000003000000}"/>
    <dataValidation allowBlank="1" showInputMessage="1" showErrorMessage="1" prompt="Enter a value here to conserve bandwidth on the return path from Node 2._x000a__x000a_5%=Use up to 5% of available bandwidth (Scheduled xmit rate) for LTP report segments (acks)_x000a_" sqref="B17" xr:uid="{00000000-0002-0000-0200-000004000000}">
      <formula1>0</formula1>
      <formula2>0</formula2>
    </dataValidation>
    <dataValidation allowBlank="1" showInputMessage="1" showErrorMessage="1" prompt="The maximum bandwidth (bytes/sec) that would be consumed on the return path from node 2, based on the &quot;Max % avialable for acks on return path&quot; value." sqref="B18" xr:uid="{00000000-0002-0000-0200-000005000000}"/>
    <dataValidation allowBlank="1" showInputMessage="1" showErrorMessage="1" prompt="The maximum number of LTP report segments (acks) from node 2, based on the estimated rate of LTP blocks sent from node 1" sqref="B19" xr:uid="{00000000-0002-0000-0200-000006000000}">
      <formula1>0</formula1>
      <formula2>0</formula2>
    </dataValidation>
    <dataValidation operator="equal" allowBlank="1" showErrorMessage="1" prompt="Normally the same as the underlying link service unit / MTU" sqref="B31 B53" xr:uid="{00000000-0002-0000-0200-000007000000}">
      <formula1>0</formula1>
      <formula2>0</formula2>
    </dataValidation>
    <dataValidation allowBlank="1" showInputMessage="1" showErrorMessage="1" prompt="The number of import LTP sessions required to match the number of export sessions." sqref="B50" xr:uid="{00000000-0002-0000-0200-000008000000}"/>
    <dataValidation operator="equal" allowBlank="1" showErrorMessage="1" prompt="Enter distance to calculate the One Way Light Time (OWLT)" sqref="F3" xr:uid="{00000000-0002-0000-0200-000009000000}">
      <formula1>0</formula1>
      <formula2>0</formula2>
    </dataValidation>
    <dataValidation allowBlank="1" showInputMessage="1" showErrorMessage="1" prompt="This value influences the LTP block size, but can be exceeded by ION if the aggregation time limit allows. Larger blocks are more CPU efficient, but increase the likelihood of loss per LTP block in high loss situations." sqref="B13" xr:uid="{00000000-0002-0000-0200-00000A000000}"/>
    <dataValidation operator="equal" allowBlank="1" showInputMessage="1" showErrorMessage="1" prompt="A value which may want to be optimised by a network administrator" sqref="E70" xr:uid="{00000000-0002-0000-0200-00000B000000}">
      <formula1>0</formula1>
      <formula2>0</formula2>
    </dataValidation>
    <dataValidation allowBlank="1" showInputMessage="1" showErrorMessage="1" prompt="The estimated xmit rate (Bytes/sec) that will be consumed sending red data." sqref="B22" xr:uid="{00000000-0002-0000-0200-00000C000000}"/>
    <dataValidation allowBlank="1" showInputMessage="1" showErrorMessage="1" prompt="The time allowed by LTP to concatenate service data units into a single LTP block." sqref="B24" xr:uid="{00000000-0002-0000-0200-00000D000000}"/>
    <dataValidation allowBlank="1" showInputMessage="1" showErrorMessage="1" prompt="The estimated LTP block size, based on the aggregation size limit. _x000a_Note: this is sometimes exceeded by LTP if the aggregation time limit allows." sqref="B27:B28" xr:uid="{00000000-0002-0000-0200-00000E000000}"/>
    <dataValidation allowBlank="1" showInputMessage="1" showErrorMessage="1" prompt="The estimated number of LTP segments within a single LTP block._x000a_For high-loss links, it may be benficial to reduce this number to increase the chance of a full LTP block being transmit with errors." sqref="B32 B54:B55" xr:uid="{00000000-0002-0000-0200-00000F000000}"/>
    <dataValidation allowBlank="1" showInputMessage="1" showErrorMessage="1" prompt="The estimated number of incomplete segments, based on the provided BER." sqref="B34" xr:uid="{00000000-0002-0000-0200-000010000000}"/>
    <dataValidation allowBlank="1" showInputMessage="1" showErrorMessage="1" prompt="Estimated % of successfully received LTP data, based on the provided BER." sqref="B38" xr:uid="{00000000-0002-0000-0200-000011000000}"/>
    <dataValidation allowBlank="1" showInputMessage="1" showErrorMessage="1" prompt="Estimated bandwidth consumed for acknowledgement traffic." sqref="B40" xr:uid="{00000000-0002-0000-0200-000012000000}"/>
    <dataValidation allowBlank="1" showInputMessage="1" showErrorMessage="1" prompt="The minumum number of LTP sessions recommended." sqref="B43" xr:uid="{00000000-0002-0000-0200-000013000000}"/>
    <dataValidation allowBlank="1" showInputMessage="1" showErrorMessage="1" prompt="An indication of the number of segments likely to be handled by each import session." sqref="B51" xr:uid="{00000000-0002-0000-0200-000014000000}"/>
    <dataValidation allowBlank="1" showErrorMessage="1" prompt="_x000a_" sqref="C13" xr:uid="{00000000-0002-0000-0200-000015000000}"/>
    <dataValidation allowBlank="1" showInputMessage="1" showErrorMessage="1" prompt="Estimated link utilization, factoring in the bandwidth delay product. 100% indicates the most optimal use of available bandwidth and operational time slot of equipment." sqref="B47" xr:uid="{00000000-0002-0000-0200-000016000000}"/>
    <dataValidation allowBlank="1" showInputMessage="1" showErrorMessage="1" prompt="Data rate in bytes per second to the other node" sqref="B16" xr:uid="{00000000-0002-0000-0200-000017000000}"/>
    <dataValidation allowBlank="1" showErrorMessage="1" prompt="Estimated % of successfully received LTP data, based on the provided BER." sqref="B62:B64" xr:uid="{AEF07CDF-0781-6C46-A7D3-DF180A7DB30B}"/>
  </dataValidations>
  <pageMargins left="0.74791666666666667" right="0.74791666666666667" top="0.98402777777777772" bottom="0.98402777777777772" header="0.51180555555555551" footer="0.51180555555555551"/>
  <pageSetup firstPageNumber="0" orientation="portrait" horizontalDpi="300" verticalDpi="300"/>
  <headerFooter alignWithMargins="0"/>
  <extLst>
    <ext xmlns:x14="http://schemas.microsoft.com/office/spreadsheetml/2009/9/main" uri="{78C0D931-6437-407d-A8EE-F0AAD7539E65}">
      <x14:conditionalFormattings>
        <x14:conditionalFormatting xmlns:xm="http://schemas.microsoft.com/office/excel/2006/main">
          <x14:cfRule type="iconSet" priority="8" id="{26121C25-7BBF-4C49-A4DC-9C102ABE3F89}">
            <x14:iconSet custom="1">
              <x14:cfvo type="percent">
                <xm:f>0</xm:f>
              </x14:cfvo>
              <x14:cfvo type="num">
                <xm:f>0</xm:f>
              </x14:cfvo>
              <x14:cfvo type="formula">
                <xm:f>$C$14</xm:f>
              </x14:cfvo>
              <x14:cfIcon iconSet="3TrafficLights1" iconId="0"/>
              <x14:cfIcon iconSet="3TrafficLights1" iconId="0"/>
              <x14:cfIcon iconSet="3TrafficLights1" iconId="2"/>
            </x14:iconSet>
          </x14:cfRule>
          <xm:sqref>C13</xm:sqref>
        </x14:conditionalFormatting>
        <x14:conditionalFormatting xmlns:xm="http://schemas.microsoft.com/office/excel/2006/main">
          <x14:cfRule type="iconSet" priority="7" id="{B1C90E96-A81D-BC45-B077-D87F0DBDA23B}">
            <x14:iconSet custom="1">
              <x14:cfvo type="percent">
                <xm:f>0</xm:f>
              </x14:cfvo>
              <x14:cfvo type="num">
                <xm:f>0</xm:f>
              </x14:cfvo>
              <x14:cfvo type="formula">
                <xm:f>$C$14/$C$16</xm:f>
              </x14:cfvo>
              <x14:cfIcon iconSet="3TrafficLights1" iconId="0"/>
              <x14:cfIcon iconSet="3TrafficLights1" iconId="0"/>
              <x14:cfIcon iconSet="3TrafficLights1" iconId="2"/>
            </x14:iconSet>
          </x14:cfRule>
          <xm:sqref>C24</xm:sqref>
        </x14:conditionalFormatting>
        <x14:conditionalFormatting xmlns:xm="http://schemas.microsoft.com/office/excel/2006/main">
          <x14:cfRule type="iconSet" priority="5" id="{2AB10179-3CFC-4E47-B736-8CF1AE1D4835}">
            <x14:iconSet custom="1">
              <x14:cfvo type="percent">
                <xm:f>0</xm:f>
              </x14:cfvo>
              <x14:cfvo type="num">
                <xm:f>0</xm:f>
              </x14:cfvo>
              <x14:cfvo type="formula" gte="0">
                <xm:f>$D$18</xm:f>
              </x14:cfvo>
              <x14:cfIcon iconSet="3Symbols2" iconId="0"/>
              <x14:cfIcon iconSet="3TrafficLights1" iconId="2"/>
              <x14:cfIcon iconSet="3TrafficLights1" iconId="0"/>
            </x14:iconSet>
          </x14:cfRule>
          <xm:sqref>D40</xm:sqref>
        </x14:conditionalFormatting>
        <x14:conditionalFormatting xmlns:xm="http://schemas.microsoft.com/office/excel/2006/main">
          <x14:cfRule type="iconSet" priority="4" id="{7C8D6E45-A596-A94C-B775-57EB6EBCAB66}">
            <x14:iconSet custom="1">
              <x14:cfvo type="percent">
                <xm:f>0</xm:f>
              </x14:cfvo>
              <x14:cfvo type="num">
                <xm:f>0</xm:f>
              </x14:cfvo>
              <x14:cfvo type="num">
                <xm:f>$D$14</xm:f>
              </x14:cfvo>
              <x14:cfIcon iconSet="3TrafficLights1" iconId="0"/>
              <x14:cfIcon iconSet="3TrafficLights1" iconId="0"/>
              <x14:cfIcon iconSet="3TrafficLights1" iconId="2"/>
            </x14:iconSet>
          </x14:cfRule>
          <xm:sqref>D13</xm:sqref>
        </x14:conditionalFormatting>
        <x14:conditionalFormatting xmlns:xm="http://schemas.microsoft.com/office/excel/2006/main">
          <x14:cfRule type="iconSet" priority="3" id="{0EAFF76B-A9F4-7343-8E62-11FFAC54E9AD}">
            <x14:iconSet custom="1">
              <x14:cfvo type="percent">
                <xm:f>0</xm:f>
              </x14:cfvo>
              <x14:cfvo type="num">
                <xm:f>0</xm:f>
              </x14:cfvo>
              <x14:cfvo type="formula">
                <xm:f>$D$14/$D$16</xm:f>
              </x14:cfvo>
              <x14:cfIcon iconSet="3TrafficLights1" iconId="0"/>
              <x14:cfIcon iconSet="3TrafficLights1" iconId="0"/>
              <x14:cfIcon iconSet="3TrafficLights1" iconId="2"/>
            </x14:iconSet>
          </x14:cfRule>
          <xm:sqref>D24</xm:sqref>
        </x14:conditionalFormatting>
        <x14:conditionalFormatting xmlns:xm="http://schemas.microsoft.com/office/excel/2006/main">
          <x14:cfRule type="iconSet" priority="1" id="{207D5831-D73D-F947-B85B-05690B7A537D}">
            <x14:iconSet custom="1">
              <x14:cfvo type="percent">
                <xm:f>0</xm:f>
              </x14:cfvo>
              <x14:cfvo type="num">
                <xm:f>0</xm:f>
              </x14:cfvo>
              <x14:cfvo type="formula">
                <xm:f>$C$18</xm:f>
              </x14:cfvo>
              <x14:cfIcon iconSet="3TrafficLights1" iconId="0"/>
              <x14:cfIcon iconSet="3TrafficLights1" iconId="2"/>
              <x14:cfIcon iconSet="3TrafficLights1" iconId="0"/>
            </x14:iconSet>
          </x14:cfRule>
          <xm:sqref>C40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vt:lpstr>
      <vt:lpstr>Version History</vt:lpstr>
      <vt:lpstr>Link</vt:lpstr>
      <vt:lpstr>Main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ION-LTP Configuration Helper</dc:title>
  <dc:subject/>
  <dc:creator>Jet Propulsion Laboratory, California Institute of Technology</dc:creator>
  <cp:keywords/>
  <dc:description/>
  <cp:lastModifiedBy>Jay Gao</cp:lastModifiedBy>
  <dcterms:created xsi:type="dcterms:W3CDTF">2016-04-04T06:46:52Z</dcterms:created>
  <dcterms:modified xsi:type="dcterms:W3CDTF">2023-07-18T23:37:25Z</dcterms:modified>
  <cp:category/>
</cp:coreProperties>
</file>